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\\intra\partages\AU_AMIC\LPR_2022_SAMIC\Programme\"/>
    </mc:Choice>
  </mc:AlternateContent>
  <bookViews>
    <workbookView xWindow="0" yWindow="0" windowWidth="20820" windowHeight="8088"/>
  </bookViews>
  <sheets>
    <sheet name="TF106" sheetId="4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M241" i="4" l="1"/>
  <c r="L241" i="4"/>
  <c r="K241" i="4"/>
  <c r="J241" i="4"/>
  <c r="I241" i="4"/>
  <c r="H241" i="4"/>
  <c r="G241" i="4"/>
  <c r="F241" i="4"/>
  <c r="E241" i="4"/>
  <c r="D241" i="4"/>
  <c r="C241" i="4"/>
  <c r="M239" i="4"/>
  <c r="L239" i="4"/>
  <c r="K239" i="4"/>
  <c r="J239" i="4"/>
  <c r="I239" i="4"/>
  <c r="H239" i="4"/>
  <c r="G239" i="4"/>
  <c r="F239" i="4"/>
  <c r="E239" i="4"/>
  <c r="D239" i="4"/>
  <c r="C239" i="4"/>
  <c r="M110" i="4" l="1"/>
  <c r="M109" i="4"/>
  <c r="L110" i="4"/>
  <c r="L109" i="4"/>
  <c r="K110" i="4"/>
  <c r="K109" i="4"/>
  <c r="J110" i="4"/>
  <c r="J109" i="4"/>
  <c r="I110" i="4"/>
  <c r="I109" i="4"/>
  <c r="H110" i="4"/>
  <c r="H109" i="4"/>
  <c r="G110" i="4"/>
  <c r="G109" i="4"/>
  <c r="F110" i="4"/>
  <c r="F109" i="4"/>
  <c r="E110" i="4"/>
  <c r="E109" i="4"/>
  <c r="D110" i="4"/>
  <c r="D109" i="4"/>
  <c r="C110" i="4"/>
  <c r="C109" i="4"/>
  <c r="A89" i="4" l="1"/>
  <c r="A253" i="4" l="1"/>
  <c r="A212" i="4" l="1"/>
  <c r="A269" i="4"/>
  <c r="A215" i="4"/>
  <c r="A150" i="4"/>
  <c r="A138" i="4"/>
  <c r="A122" i="4"/>
  <c r="A73" i="4" l="1"/>
  <c r="A76" i="4"/>
  <c r="A205" i="4"/>
  <c r="A297" i="4"/>
  <c r="A294" i="4"/>
  <c r="A291" i="4"/>
  <c r="A288" i="4"/>
  <c r="A285" i="4"/>
  <c r="A283" i="4"/>
  <c r="A281" i="4"/>
  <c r="A279" i="4"/>
  <c r="A277" i="4"/>
  <c r="A274" i="4"/>
  <c r="A271" i="4"/>
  <c r="A267" i="4"/>
  <c r="A262" i="4"/>
  <c r="A258" i="4"/>
  <c r="A255" i="4"/>
  <c r="A251" i="4"/>
  <c r="A250" i="4"/>
  <c r="A246" i="4"/>
  <c r="A244" i="4"/>
  <c r="A242" i="4"/>
  <c r="A240" i="4"/>
  <c r="A238" i="4"/>
  <c r="A234" i="4"/>
  <c r="A231" i="4"/>
  <c r="A228" i="4"/>
  <c r="A226" i="4"/>
  <c r="A224" i="4"/>
  <c r="A222" i="4"/>
  <c r="A219" i="4"/>
  <c r="A217" i="4"/>
  <c r="A210" i="4"/>
  <c r="A208" i="4"/>
  <c r="A200" i="4"/>
  <c r="A202" i="4"/>
  <c r="A198" i="4"/>
  <c r="A196" i="4"/>
  <c r="A192" i="4"/>
  <c r="A190" i="4"/>
  <c r="A188" i="4"/>
  <c r="A184" i="4"/>
  <c r="A181" i="4"/>
  <c r="A179" i="4"/>
  <c r="A171" i="4"/>
  <c r="A169" i="4"/>
  <c r="A167" i="4"/>
  <c r="A163" i="4"/>
  <c r="A160" i="4"/>
  <c r="A157" i="4"/>
  <c r="A155" i="4"/>
  <c r="A153" i="4"/>
  <c r="A146" i="4"/>
  <c r="A143" i="4"/>
  <c r="A141" i="4"/>
  <c r="A136" i="4"/>
  <c r="A133" i="4"/>
  <c r="A130" i="4"/>
  <c r="A128" i="4"/>
  <c r="A125" i="4"/>
  <c r="A120" i="4"/>
  <c r="A116" i="4"/>
  <c r="A106" i="4"/>
  <c r="A104" i="4"/>
  <c r="A101" i="4"/>
  <c r="A98" i="4"/>
  <c r="A96" i="4"/>
  <c r="A92" i="4"/>
  <c r="A86" i="4"/>
  <c r="A84" i="4"/>
  <c r="A82" i="4"/>
  <c r="A80" i="4"/>
  <c r="A79" i="4"/>
  <c r="A75" i="4"/>
  <c r="A70" i="4"/>
  <c r="A68" i="4"/>
  <c r="A66" i="4"/>
  <c r="A62" i="4"/>
  <c r="A59" i="4"/>
  <c r="A58" i="4"/>
  <c r="A57" i="4"/>
  <c r="A55" i="4"/>
  <c r="A54" i="4"/>
  <c r="A51" i="4"/>
  <c r="A49" i="4"/>
  <c r="A48" i="4"/>
  <c r="A46" i="4"/>
  <c r="A45" i="4"/>
  <c r="A44" i="4"/>
  <c r="A43" i="4"/>
  <c r="A42" i="4"/>
  <c r="A41" i="4"/>
  <c r="A39" i="4"/>
  <c r="A38" i="4"/>
  <c r="A37" i="4"/>
  <c r="A36" i="4"/>
  <c r="A35" i="4"/>
  <c r="A33" i="4"/>
  <c r="A32" i="4"/>
  <c r="A31" i="4"/>
  <c r="A29" i="4"/>
  <c r="A28" i="4"/>
  <c r="A27" i="4"/>
  <c r="A26" i="4"/>
  <c r="A24" i="4"/>
  <c r="A23" i="4"/>
  <c r="A22" i="4"/>
  <c r="A21" i="4"/>
  <c r="A20" i="4"/>
  <c r="A17" i="4"/>
  <c r="A18" i="4"/>
  <c r="A16" i="4"/>
  <c r="A15" i="4"/>
  <c r="A14" i="4"/>
  <c r="A13" i="4"/>
  <c r="A12" i="4"/>
  <c r="A10" i="4"/>
  <c r="A9" i="4"/>
  <c r="A8" i="4"/>
  <c r="A7" i="4"/>
  <c r="A6" i="4"/>
  <c r="A11" i="4" l="1"/>
  <c r="A19" i="4"/>
  <c r="A25" i="4"/>
  <c r="A30" i="4"/>
  <c r="A34" i="4"/>
  <c r="A40" i="4"/>
  <c r="A47" i="4"/>
  <c r="A50" i="4"/>
  <c r="A52" i="4"/>
  <c r="A53" i="4"/>
  <c r="A56" i="4"/>
  <c r="A60" i="4"/>
  <c r="A61" i="4"/>
  <c r="A64" i="4"/>
  <c r="A65" i="4"/>
  <c r="A67" i="4"/>
  <c r="A69" i="4"/>
  <c r="A74" i="4"/>
  <c r="A78" i="4"/>
  <c r="A81" i="4"/>
  <c r="A83" i="4"/>
  <c r="A85" i="4"/>
  <c r="A87" i="4"/>
  <c r="A90" i="4"/>
  <c r="A94" i="4"/>
  <c r="A95" i="4"/>
  <c r="A97" i="4"/>
  <c r="A99" i="4"/>
  <c r="A100" i="4"/>
  <c r="A102" i="4"/>
  <c r="A105" i="4"/>
  <c r="A107" i="4"/>
  <c r="A109" i="4"/>
  <c r="A110" i="4"/>
  <c r="A111" i="4"/>
  <c r="A114" i="4"/>
  <c r="A115" i="4"/>
  <c r="A118" i="4"/>
  <c r="A119" i="4"/>
  <c r="A126" i="4"/>
  <c r="A127" i="4"/>
  <c r="A129" i="4"/>
  <c r="A134" i="4"/>
  <c r="A135" i="4"/>
  <c r="A137" i="4"/>
  <c r="A139" i="4"/>
  <c r="A140" i="4"/>
  <c r="A142" i="4"/>
  <c r="A144" i="4"/>
  <c r="A145" i="4"/>
  <c r="A148" i="4"/>
  <c r="A149" i="4"/>
  <c r="A151" i="4"/>
  <c r="A152" i="4"/>
  <c r="A154" i="4"/>
  <c r="A156" i="4"/>
  <c r="A158" i="4"/>
  <c r="A159" i="4"/>
  <c r="A161" i="4"/>
  <c r="A162" i="4"/>
  <c r="A165" i="4"/>
  <c r="A166" i="4"/>
  <c r="A168" i="4"/>
  <c r="A170" i="4"/>
  <c r="A172" i="4"/>
  <c r="A173" i="4"/>
  <c r="A174" i="4"/>
  <c r="A175" i="4"/>
  <c r="A176" i="4"/>
  <c r="A177" i="4"/>
  <c r="A178" i="4"/>
  <c r="A182" i="4"/>
  <c r="A194" i="4"/>
  <c r="A195" i="4"/>
  <c r="A197" i="4"/>
  <c r="A199" i="4"/>
  <c r="A203" i="4"/>
  <c r="A206" i="4"/>
  <c r="A207" i="4"/>
  <c r="A209" i="4"/>
  <c r="A213" i="4"/>
  <c r="A214" i="4"/>
  <c r="A216" i="4"/>
  <c r="A218" i="4"/>
  <c r="A220" i="4"/>
  <c r="A221" i="4"/>
  <c r="A223" i="4"/>
  <c r="A225" i="4"/>
  <c r="A227" i="4"/>
  <c r="A233" i="4"/>
  <c r="A236" i="4"/>
  <c r="A237" i="4"/>
  <c r="A243" i="4"/>
  <c r="A245" i="4"/>
  <c r="A248" i="4"/>
  <c r="A249" i="4"/>
  <c r="A252" i="4"/>
  <c r="A254" i="4"/>
  <c r="A260" i="4"/>
  <c r="A261" i="4"/>
  <c r="A263" i="4"/>
  <c r="A265" i="4"/>
  <c r="A266" i="4"/>
  <c r="A268" i="4"/>
  <c r="A270" i="4"/>
  <c r="A275" i="4"/>
  <c r="A276" i="4"/>
  <c r="A278" i="4"/>
  <c r="A280" i="4"/>
  <c r="A282" i="4"/>
  <c r="A284" i="4"/>
  <c r="A292" i="4"/>
  <c r="A293" i="4"/>
  <c r="A295" i="4"/>
  <c r="A296" i="4"/>
  <c r="A5" i="4"/>
  <c r="A4" i="4"/>
  <c r="A3" i="4"/>
</calcChain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B1" authorId="0" shapeId="1025">
      <text>
        <r>
          <rPr>
            <sz val="9"/>
            <color indexed="81"/>
            <rFont val="Tahoma"/>
            <family val="2"/>
          </rPr>
          <t>DECUC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335280</xdr:colOff>
                <xdr:row>0</xdr:row>
                <xdr:rowOff>22860</xdr:rowOff>
              </from>
              <to>
                <xdr:col>11</xdr:col>
                <xdr:colOff>45720</xdr:colOff>
                <xdr:row>1</xdr:row>
                <xdr:rowOff>22860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<sst xmlns="http://purl.oclc.org/ooxml/spreadsheetml/main" count="357" uniqueCount="357">
  <si>
    <t>Ensemble</t>
  </si>
  <si>
    <t>TOTAL DE LA CONSOMMATION - CHAMP COMPTABILITE NATIONALE</t>
  </si>
  <si>
    <t>01 - PRODUITS ALIMENTAIRES ET BOISSONS NON-ALCOOLISEES</t>
  </si>
  <si>
    <t>011 - Produits alimentaires (hors café, thé, cacao et boissons)</t>
  </si>
  <si>
    <t>0111 - Pain et céréales, produits à base de céréales (yc pâtisserie, riz, pâtes)</t>
  </si>
  <si>
    <t>01111 - Riz sous toutes ses formes et produits à base de riz</t>
  </si>
  <si>
    <t>01112 - Pain et autres produits de boulangerie et de viennoiserie yc biscuits et gâteaux</t>
  </si>
  <si>
    <t>01113 - Pâtes alimentaires sous toutes leurs formes et plats à base de pâtes</t>
  </si>
  <si>
    <t>01114 - Préparations telles que pâte à pâtisser, gâteau industriel, tarte, tourte, quiche, pizza</t>
  </si>
  <si>
    <t>01115 - Autres céréales et produits à base de céréales yc farine, semoule, céréales petit déjeuner, couscous, taboulé</t>
  </si>
  <si>
    <t>0112 - Viande</t>
  </si>
  <si>
    <t>01121 - Viande bovine fraîche ou surgelée</t>
  </si>
  <si>
    <t>01122 - Viande porcine fraîche ou surgelée</t>
  </si>
  <si>
    <t>01123 - Viande ovine ou caprine fraîche ou surgelée</t>
  </si>
  <si>
    <t>01124 - Viande de volaille fraîche ou surgelée</t>
  </si>
  <si>
    <t>01125 - Viande séchée salée ou fumée, charcuterie et abats, frais ou surgelé (jambon, saucisses, pâtés, abats, etc.)</t>
  </si>
  <si>
    <t>01126 - Conserve de viande, produit de transformation des viandes, plat préparé de viande</t>
  </si>
  <si>
    <t>01127 - Autres viandes comestibles fraîches ou surgelées (cheval, lapin, gibier) yc animaux sur pied</t>
  </si>
  <si>
    <t>0113 - Poissons et fruits de mer</t>
  </si>
  <si>
    <t>01130 - Poissons frais</t>
  </si>
  <si>
    <t>01131 - Poissons surgelés ou congelés (hors poissons panés ou cuisinés)</t>
  </si>
  <si>
    <t>01132 - Fruits de mer frais ou surgelés (yc cuits, nc cuisinés )</t>
  </si>
  <si>
    <t>01133 - Poissons et fruits de mer salés, fumés, séchés yc surgelé</t>
  </si>
  <si>
    <t>01134 - Conserves de poisson et de fruits de mer et plats préparés à base de poissons ou de fruits de mer</t>
  </si>
  <si>
    <t>0114 - Lait, fromages et œufs</t>
  </si>
  <si>
    <t>01145 - Fromage et lait caillé</t>
  </si>
  <si>
    <t>01147 - Œufs</t>
  </si>
  <si>
    <t>0114A - Lait frais, condensé, en poudre</t>
  </si>
  <si>
    <t>0114B - Yaourts et produits laitiers</t>
  </si>
  <si>
    <t>0115 - Huiles et graisses</t>
  </si>
  <si>
    <t>01151 - Beurre</t>
  </si>
  <si>
    <t>0115A - Huiles alimentaires</t>
  </si>
  <si>
    <t>0115B - Margarine et autres graisses alimentaires</t>
  </si>
  <si>
    <t>0116 - Fruits</t>
  </si>
  <si>
    <t>01161 - Agrumes frais</t>
  </si>
  <si>
    <t>01162 - Bananes fraîches</t>
  </si>
  <si>
    <t>01168 - Fruits séchés</t>
  </si>
  <si>
    <t>01169 - Fruits au sirop et fruits surgelés</t>
  </si>
  <si>
    <t>0116A - Autres fruits frais</t>
  </si>
  <si>
    <t>0117 - Légumes y compris pommes de terre et autres tubercules</t>
  </si>
  <si>
    <t>01175 - Légumes secs</t>
  </si>
  <si>
    <t>01176 - Légumes surgelés non cuisinés</t>
  </si>
  <si>
    <t>01177 - Légumes et plats à base de légume, en conserve (sans pommes de terre)</t>
  </si>
  <si>
    <t>01178 - Légumes préparés et plats à base de légumes, frais et surgelés (sauf les plats à base de pommes de terre)</t>
  </si>
  <si>
    <t>01179 - Pomme de terre, autres tubercules, produits à base de pommes de terre (chips) et tubercules</t>
  </si>
  <si>
    <t>0117A - Legumes frais</t>
  </si>
  <si>
    <t>0118 - Sucre, confiture, miel, chocolat, glaces et confiserie</t>
  </si>
  <si>
    <t>01181 - Sucre yc édulcorants</t>
  </si>
  <si>
    <t>0118A - Produits à base de sucre et cacao</t>
  </si>
  <si>
    <t>0119 - Autres produits alimentaires</t>
  </si>
  <si>
    <t>0119Z - Autres produits alimentaires</t>
  </si>
  <si>
    <t>012 - Café, thé et boissons non alcoolisées</t>
  </si>
  <si>
    <t>0121 - Café thé cacao</t>
  </si>
  <si>
    <t>01213 - Cacao et chocolat en poudre</t>
  </si>
  <si>
    <t>0121A - Café, thé, plantes à infusion</t>
  </si>
  <si>
    <t>0122 - Eaux minérales, boissons gazeuses, sirops et jus</t>
  </si>
  <si>
    <t>01221 - Eaux minérales</t>
  </si>
  <si>
    <t>01222 - Boissons gazeuses</t>
  </si>
  <si>
    <t>0122A - Jus de fruits et de légumes</t>
  </si>
  <si>
    <t>013 - Autres dépenses d alimentation</t>
  </si>
  <si>
    <t>0131 - Autres dépenses d alimentation</t>
  </si>
  <si>
    <t>0131Z - Autres dépenses d alimentation</t>
  </si>
  <si>
    <t>02 - BOISSONS ALCOOLISEES ET TABAC</t>
  </si>
  <si>
    <t>021 - Boissons alcoolisées</t>
  </si>
  <si>
    <t>0211 - Spiritueux</t>
  </si>
  <si>
    <t>02111 - Spiritueux et liqueurs</t>
  </si>
  <si>
    <t>0212 - Vins, apéritifs à base de vin, champagne</t>
  </si>
  <si>
    <t>0212A - Vins, apéritifs à base de vin, champagne</t>
  </si>
  <si>
    <t>0213 - Bières</t>
  </si>
  <si>
    <t>02131 - Bière et boissons à base de bière</t>
  </si>
  <si>
    <t>022 - Tabac et produits connexes</t>
  </si>
  <si>
    <t>022Z - Tabac et produits connexes</t>
  </si>
  <si>
    <t>022ZZ - Tabac et produits connexes</t>
  </si>
  <si>
    <t>024 - Autres dépenses de boissons alcoolisées, tabac et stupéfiants</t>
  </si>
  <si>
    <t>0241 - Autres dépenses de boissons alcoolisées, tabac et stupéfiants</t>
  </si>
  <si>
    <t>02411 - Dépenses de boissons alcoolisées, tabac et stupéfiants : cadeau offert à un autre ménage</t>
  </si>
  <si>
    <t>03 - ARTICLES D’HABILLEMENT ET CHAUSSURES</t>
  </si>
  <si>
    <t>031 - Tissus et vêtements yc services</t>
  </si>
  <si>
    <t>0311 - Tissus d habillement</t>
  </si>
  <si>
    <t>03111 - Tissus pour vêtements</t>
  </si>
  <si>
    <t>0312 - Vêtements homme, femme, enfant</t>
  </si>
  <si>
    <t>0312Z - Vêtements homme, femme, enfant</t>
  </si>
  <si>
    <t>0313 - Accessoires du vêtement et mercerie</t>
  </si>
  <si>
    <t>03131 - Accessoires du vêtement et mercerie</t>
  </si>
  <si>
    <t>0314 - Nettoyage, réparation et location de vêtements</t>
  </si>
  <si>
    <t>03141 - Nettoyage, réparation et location de vêtements</t>
  </si>
  <si>
    <t>032 - Chaussures, yc location et réparation</t>
  </si>
  <si>
    <t>032Z - Chaussures, yc location et réparation</t>
  </si>
  <si>
    <t>032ZZ - Chaussures, yc location et réparation</t>
  </si>
  <si>
    <t>033 - Autres dépenses d habillement</t>
  </si>
  <si>
    <t>0331 - Autres dépenses d habillement</t>
  </si>
  <si>
    <t>0331Z - Autres dépenses d habillement</t>
  </si>
  <si>
    <t>04 - LOGEMENT, EAU, GAZ, ELECTRICITE ET AUTRES COMBUSTIBLES</t>
  </si>
  <si>
    <t>041 - Loyers d habitation (nets des aides au logement) pour la résidence principale</t>
  </si>
  <si>
    <t>0411 - Loyers d habitation (nets des aides au logement) pour la résidence principale</t>
  </si>
  <si>
    <t>04111 - Loyers nets des aides au logement (hors charges ou avec charges non isolables) des locataires résidence principale</t>
  </si>
  <si>
    <t>0412 - Loyers (hors charges ou avec charges non isolables) des locataires autres résidences</t>
  </si>
  <si>
    <t>04121 - Loyers (hors charges ou avec charges non isolables) des locataires autres résidences</t>
  </si>
  <si>
    <t>043 - Travaux courants d’entretien et de réparation du logement (hors gros travaux)</t>
  </si>
  <si>
    <t>0431 - Produits destinés aux travaux courants d’entretien et de réparation du logement (hors gros travaux)</t>
  </si>
  <si>
    <t>0431Z - Produits destinés aux travaux courants d’entretien et de réparation du logement (hors gros travaux)</t>
  </si>
  <si>
    <t>044 - Autres services relatifs au logement (ordures, assainissement, eau, charges)</t>
  </si>
  <si>
    <t>0443 - Factures d’eau</t>
  </si>
  <si>
    <t>04431 - Factures d’eau résidence principale, autre logement, dépendance, terrain</t>
  </si>
  <si>
    <t>0444 - Charges collectives</t>
  </si>
  <si>
    <t>04441 - Charges collectives relatives au logement (payées isolément du loyer ou crédit)</t>
  </si>
  <si>
    <t>045 - Electricité, gaz et autres combustibles</t>
  </si>
  <si>
    <t>0450 - Electricité+gaz (non dissociable)</t>
  </si>
  <si>
    <t>0451 - Electricité</t>
  </si>
  <si>
    <t>0452 - Gaz et combustibles liquéfiés (gaz de ville, butane...)</t>
  </si>
  <si>
    <t>0453 - Combustibles liquides</t>
  </si>
  <si>
    <t>045A - Combustibles solides</t>
  </si>
  <si>
    <t>046 - Autres dépenses d’habitation</t>
  </si>
  <si>
    <t>0461 - Autres dépenses d’habitation</t>
  </si>
  <si>
    <t>04611 - Autres dépenses d’habitation : cadeau offert (à destination d’un autre ménage)</t>
  </si>
  <si>
    <t>05 - MEUBLES, ARTICLES DE MENAGE ET ENTRETIEN COURANT DE LA MAISON</t>
  </si>
  <si>
    <t>051 - Meubles, articles d’ameublement et décoration, tapis et autres revêtements de sol, réparation de ces articles</t>
  </si>
  <si>
    <t>0511 - Meubles, articles d’ameublement et de décoration</t>
  </si>
  <si>
    <t>0511Z - Meubles, articles d’ameublement et de décoration</t>
  </si>
  <si>
    <t>051A - Tapis et autres revêtements, pose et réparation</t>
  </si>
  <si>
    <t>051AZ - Tapis et autres revêtements, pose et réparation</t>
  </si>
  <si>
    <t>052 - Articles de ménage en textile (literie, linge de maison, autre textile d ameublement)</t>
  </si>
  <si>
    <t>0521 - Articles de literie et autres articles de ménage en textile</t>
  </si>
  <si>
    <t>0521Z - Articles de literie et autres articles de ménage en textile</t>
  </si>
  <si>
    <t>053 - Gros appareils électroménagers yc de chauffage et réparation de ces appareils</t>
  </si>
  <si>
    <t>0531 - Gros appareils ménagers électriques</t>
  </si>
  <si>
    <t>0531Z - Gros appareils ménagers électriques</t>
  </si>
  <si>
    <t>0532 - Petit électroménager et installation de ces appareils</t>
  </si>
  <si>
    <t>05321 - Petit électroménager</t>
  </si>
  <si>
    <t>054 - Verrerie, vaisselle, ustensiles de cuisine et article de ménage ou toilette</t>
  </si>
  <si>
    <t>0541 - Verrerie, vaisselle, ustensiles de cuisine et article de ménage ou toilette yc réparation</t>
  </si>
  <si>
    <t>0541Z - Verrerie, vaisselle, ustensiles de cuisine et article de ménage ou toilette yc réparation</t>
  </si>
  <si>
    <t>055 - Outillage pour la maison et le jardin, outillage SAI</t>
  </si>
  <si>
    <t>0551 - Gros outillage de bricolage, de jardinage et leur réparation</t>
  </si>
  <si>
    <t>0551Z - Gros outillage de bricolage, de jardinage et leur réparation</t>
  </si>
  <si>
    <t>0552 - Petit outillage et accessoires de bricolage et jardinage, matériaux extérieurs</t>
  </si>
  <si>
    <t>0552Z - Petit outillage et accessoires de bricolage et jardinage, matériaux extérieurs</t>
  </si>
  <si>
    <t>056 - Biens et services pour l’entretien courant du logement (produits et articles d entretien, services domestiques ou d entretien pour le logement)</t>
  </si>
  <si>
    <t>0561 - Articles de ménage non durables</t>
  </si>
  <si>
    <t>0561Z - Articles de ménage non durables</t>
  </si>
  <si>
    <t>0562 - Services domestiques et autres services pour le logement</t>
  </si>
  <si>
    <t>0562Z - Services domestiques et autres services pour le logement</t>
  </si>
  <si>
    <t>057 - Autres dépenses en équipement</t>
  </si>
  <si>
    <t>0571 - Autres dépenses en équipement</t>
  </si>
  <si>
    <t>0571Z - Autres dépenses en équipement</t>
  </si>
  <si>
    <t>06 - SANTE</t>
  </si>
  <si>
    <t>061 - Produits et appareils thérapeutiques, matériel médical</t>
  </si>
  <si>
    <t>0611 - Produits pharmaceutiques, appareils et matériels thérapeutiques</t>
  </si>
  <si>
    <t>0611Z - Produits pharmaceutiques, appareils et matériels thérapeutiques</t>
  </si>
  <si>
    <t>062 - Services de consultation externe</t>
  </si>
  <si>
    <t>0621 - Services médicaux, dépenses médicales SAI</t>
  </si>
  <si>
    <t>06211 - Consultations des médecins généralistes ou spécialistes hors hospitalisation</t>
  </si>
  <si>
    <t>0622 - Soins dentaires</t>
  </si>
  <si>
    <t>06221 - Dentiste, orthodontie</t>
  </si>
  <si>
    <t>0623 - Services paramédicaux (labo, radio, soins des auxiliaires médicaux et paramédicaux…)</t>
  </si>
  <si>
    <t>0623Z - Services paramédicaux (labo, radio, soins des auxiliaires médicaux et paramédicaux…)</t>
  </si>
  <si>
    <t>063 - Services et soins hospitaliers</t>
  </si>
  <si>
    <t>0631 - Services et soins hospitaliers</t>
  </si>
  <si>
    <t>06311 - Services et soins hospitaliers</t>
  </si>
  <si>
    <t>064 - Autres dépenses de santé</t>
  </si>
  <si>
    <t>0641 - Autres dépenses de santé</t>
  </si>
  <si>
    <t>0641Z - Autres dépenses de santé</t>
  </si>
  <si>
    <t>07 - TRANSPORTS</t>
  </si>
  <si>
    <t>071 - Achats de véhicules</t>
  </si>
  <si>
    <t>0711 - Achats d automobiles</t>
  </si>
  <si>
    <t>0711Z - Achats d automobiles</t>
  </si>
  <si>
    <t>0712 - Achats de motocycles</t>
  </si>
  <si>
    <t>07121 - Achats de motocycles neufs et occasion</t>
  </si>
  <si>
    <t>0713 - Achats de cycles</t>
  </si>
  <si>
    <t>07131 - Achats de cycles neufs et occasion</t>
  </si>
  <si>
    <t>072 - Frais d utilisation de véhicules personnels (entretien, essence, garagiste, parking, péage)</t>
  </si>
  <si>
    <t>0721 - Pièces détachées et accessoires pour les véhicules personnels (hors ceux installés par un professionnel)</t>
  </si>
  <si>
    <t>0722 - Carburants et lubrifiants, antigel…</t>
  </si>
  <si>
    <t>0723 - Services d’entretien et réparation des véhicules personnels</t>
  </si>
  <si>
    <t>0724 - Autres services liés à l’utilisation de véhicules personnels</t>
  </si>
  <si>
    <t>073 - Services de transport</t>
  </si>
  <si>
    <t>0736 - Autres services de transport</t>
  </si>
  <si>
    <t>07361 - Autres services de transport (yc déménagement)</t>
  </si>
  <si>
    <t>073Z - Services de transport</t>
  </si>
  <si>
    <t>073ZZ - Services de transport</t>
  </si>
  <si>
    <t>074 - Autres dépenses de transport</t>
  </si>
  <si>
    <t>0741 - Autres dépenses de transport</t>
  </si>
  <si>
    <t>0741Z - Autres dépenses de transport</t>
  </si>
  <si>
    <t>08 - COMMUNICATIONS</t>
  </si>
  <si>
    <t>081 - Communications et services postaux</t>
  </si>
  <si>
    <t>0811 - Services postaux</t>
  </si>
  <si>
    <t>08111 - Services postaux (yc timbres, enveloppes)</t>
  </si>
  <si>
    <t>0812 - Achats de téléphones et télécopieurs</t>
  </si>
  <si>
    <t>08121 - Achats et réparation téléphones fixes ou portables, télécopieurs et accessoires</t>
  </si>
  <si>
    <t>0813 - Services de téléphone, télégraphe et télécopie, internet, recharges téléphoniques</t>
  </si>
  <si>
    <t>08131 - Services de téléphone et fax, internet, recharges téléphoniques</t>
  </si>
  <si>
    <t>09 - LOISIRS ET CULTURE</t>
  </si>
  <si>
    <t>091 - Equipements audiovisuels, photographiques et informatiques</t>
  </si>
  <si>
    <t>0911 - Appareils de réception, d’enregistrement et de reproduction, du son et de l’image</t>
  </si>
  <si>
    <t>0911Z - Appareils de réception, d’enregistrement et de reproduction, du son et de l’image</t>
  </si>
  <si>
    <t>0913 - Equipement informatique</t>
  </si>
  <si>
    <t>09131 - Micro-ordinateurs, tablettes, matériels et accessoires informatiques (yc pièces détachées), consommables</t>
  </si>
  <si>
    <t>0914 - Supports d enregistrement pour l image et le son</t>
  </si>
  <si>
    <t>09141 - Supports vierges ou enregistrés pour l’image et le son (yc téléchargement)</t>
  </si>
  <si>
    <t>091A - Equipement photo, cinéma, optique</t>
  </si>
  <si>
    <t>091AZ - Equipement photo, cinéma, optique</t>
  </si>
  <si>
    <t>092 - Autres biens durables importants du domaine des loisirs et de la culture</t>
  </si>
  <si>
    <t>092Z - Autres biens durables importants du domaine des loisirs et de la culture</t>
  </si>
  <si>
    <t>092ZZ - Autres biens durables importants du domaine des loisirs et de la culture</t>
  </si>
  <si>
    <t>093 - Autres articles et équipements de loisirs, de jardinage et animaux d’agrément</t>
  </si>
  <si>
    <t>0931 - Jeux, jouets et passe temps, articles de sport, de camping et de loisirs en plein air</t>
  </si>
  <si>
    <t>0931Z - Jeux, jouets et passe temps, articles de sport, de camping et de loisirs en plein air</t>
  </si>
  <si>
    <t>0932 - Horticulture, accessoires et frais de livraison</t>
  </si>
  <si>
    <t>09321 - Horticulture, accessoires et frais de livraison</t>
  </si>
  <si>
    <t>093A - Animaux d’agrément</t>
  </si>
  <si>
    <t>093AZ - Animaux d’agrément</t>
  </si>
  <si>
    <t>094 - Services sportifs, récréatifs et culturels</t>
  </si>
  <si>
    <t>0941 - Services sportifs et récréatifs</t>
  </si>
  <si>
    <t>09411 - Services sportifs et récréatifs (spectacles sportifs, participation loisirs, location matériel, cours et cotisations de loisirs, abonnement jeu vidéo... )</t>
  </si>
  <si>
    <t>0942 - Services culturels</t>
  </si>
  <si>
    <t>0942Z - Services culturels</t>
  </si>
  <si>
    <t>0943 - jeux de hasard (loto, tiercé …)</t>
  </si>
  <si>
    <t>09431 - jeux de hasard (loto, tiercé …)</t>
  </si>
  <si>
    <t>095 - Edition, presse, papeterie</t>
  </si>
  <si>
    <t>0951 - Livres</t>
  </si>
  <si>
    <t>09511 - Livres yc e-books</t>
  </si>
  <si>
    <t>0952 - Journaux et périodiques</t>
  </si>
  <si>
    <t>09521 - Journaux et périodiques yc par abonnement</t>
  </si>
  <si>
    <t>0953 - Imprimés divers</t>
  </si>
  <si>
    <t>09531 - Imprimés divers (carte postale, de visite, poster, calendrier, carte routière, autocollant…)</t>
  </si>
  <si>
    <t>0954 - Articles de papeterie et de dessin</t>
  </si>
  <si>
    <t>09541 - Articles de papeterie et de dessin (yc toner pour imprimante)</t>
  </si>
  <si>
    <t>096 - Voyages à forfait</t>
  </si>
  <si>
    <t>0961 - Voyages à forfait</t>
  </si>
  <si>
    <t>09611 - Voyages à forfait, week-end, excursions… yc voyage scolaire</t>
  </si>
  <si>
    <t>097 - Autres dépenses de loisirs</t>
  </si>
  <si>
    <t>0971 - Autres dépenses de loisirs</t>
  </si>
  <si>
    <t>0971Z - Autres dépenses de loisirs</t>
  </si>
  <si>
    <t>10 - ENSEIGNEMENT</t>
  </si>
  <si>
    <t>101 - Frais d enseignement, services éducatifs</t>
  </si>
  <si>
    <t>1011 - Enseignement maternel et primaire</t>
  </si>
  <si>
    <t>10111 - Enseignement maternel et primaire (scolarité et cours d’alphabétisation)</t>
  </si>
  <si>
    <t>1012 - Enseignement secondaire</t>
  </si>
  <si>
    <t>10121 - Enseignement secondaire (scolarité et inscription aux concours de niveau secondaire)</t>
  </si>
  <si>
    <t>1013 - Enseignement supérieur</t>
  </si>
  <si>
    <t>10131 - Enseignement supérieur et frais d’inscription aux concours des grandes écoles</t>
  </si>
  <si>
    <t>1014 - Enseignement ne correspondant à aucun niveau particulier</t>
  </si>
  <si>
    <t>10141 - Enseignement ne correspondant à aucun niveau particulier (cours particuliers, enseignement professionnel par correspondance…)</t>
  </si>
  <si>
    <t>1015 - Autres dépenses d’enseignement</t>
  </si>
  <si>
    <t>1015Z - Autres dépenses d’enseignement</t>
  </si>
  <si>
    <t>11 - RESTAURATION ET HÔTELS</t>
  </si>
  <si>
    <t>111 - Restauration</t>
  </si>
  <si>
    <t>1111 - Restaurants et cafés</t>
  </si>
  <si>
    <t>11111 - Repas pris dans un restaurant</t>
  </si>
  <si>
    <t>11112 - Repas pris dans un café, bars ou assimilé</t>
  </si>
  <si>
    <t>1112 - Cantines</t>
  </si>
  <si>
    <t>11121 - Cantines scolaire et professionnelle</t>
  </si>
  <si>
    <t>1113 - Autres dépenses de restauration</t>
  </si>
  <si>
    <t>1113Z - Autres dépenses de restauration</t>
  </si>
  <si>
    <t>112 - Services d hébergement</t>
  </si>
  <si>
    <t>1121 - Services d hébergement</t>
  </si>
  <si>
    <t>11211 - Services d hébergement</t>
  </si>
  <si>
    <t>12 - BIENS ET SERVICES DIVERS</t>
  </si>
  <si>
    <t>121 - Services et produits de soins personnels</t>
  </si>
  <si>
    <t>1211 - Salons de coiffure et esthétique corporelle</t>
  </si>
  <si>
    <t>12111 - Salons de coiffure et esthétique corporelle (yc cures thermales, tatouages, piercings)</t>
  </si>
  <si>
    <t>1212 - Appareils, articles et produits pour les soins personnels</t>
  </si>
  <si>
    <t>1212Z - Appareils, articles et produits pour les soins personnels</t>
  </si>
  <si>
    <t>123 - Effets personnels</t>
  </si>
  <si>
    <t>1231 - Articles de bijouterie de joaillerie et d’horlogerie</t>
  </si>
  <si>
    <t>12311 - Articles de bijouterie, de joaillerie et d’horlogerie (yc leur réparation)</t>
  </si>
  <si>
    <t>1232 - Autres effets personnels : maroquinerie, accessoires (briquet, parapluie, lunettes de soleil…), équipements pour bébés, articles funéraires</t>
  </si>
  <si>
    <t>1232Z - Autres effets personnels : maroquinerie, accessoires (briquet, parapluie, lunettes de soleil…), équipements pour bébés, articles funéraires</t>
  </si>
  <si>
    <t>1233 - Autres biens et services : cadeau offert (à des personnes extérieures au ménage)</t>
  </si>
  <si>
    <t>12331 - Autres biens et services offerts (à des personnes extérieures au ménage)</t>
  </si>
  <si>
    <t>124 - Protection sociale</t>
  </si>
  <si>
    <t>1241 - Services de protection sociale</t>
  </si>
  <si>
    <t>12411 - Services de protection sociale (assistante maternelle, crèche, maison de retraite, foyer)</t>
  </si>
  <si>
    <t>125 - Assurances</t>
  </si>
  <si>
    <t>1251 - Assurances vie, décès</t>
  </si>
  <si>
    <t>12511 - Assurances vie, décès</t>
  </si>
  <si>
    <t>1252 - Assurances liées au logement</t>
  </si>
  <si>
    <t>12521 - Assurances liées au logement</t>
  </si>
  <si>
    <t>1253 - Assurances liées à la santé</t>
  </si>
  <si>
    <t>12531 - Assurances liées à la santé</t>
  </si>
  <si>
    <t>1254 - Assurances liées aux transports</t>
  </si>
  <si>
    <t>12541 - Assurances liées aux transports (yc assurance voyage)</t>
  </si>
  <si>
    <t>1255 - Autres assurances</t>
  </si>
  <si>
    <t>12551 - Autres assurances (pack assurance, scolaire, dépendance, prévoyance, animaux, obsèques)</t>
  </si>
  <si>
    <t>126 - Services financiers</t>
  </si>
  <si>
    <t>1261 - Services financiers</t>
  </si>
  <si>
    <t>12611 - Services financiers</t>
  </si>
  <si>
    <t>127 - Autres services</t>
  </si>
  <si>
    <t>1271 - Autres services</t>
  </si>
  <si>
    <t>1271Z - Autres services</t>
  </si>
  <si>
    <t>128 - Autres dépenses de cérémonie</t>
  </si>
  <si>
    <t>1281 - Autres dépenses occasionnées par une cérémonie</t>
  </si>
  <si>
    <t>12811 - Autres dépenses occasionnées par une cérémonie</t>
  </si>
  <si>
    <t>129 - Dépenses SAI des personnes hors domicile</t>
  </si>
  <si>
    <t>1291 - Dépenses SAI des personnes vivant hors du domicile au moins un jour par semaine</t>
  </si>
  <si>
    <t>12911 - Dépenses SAI des personnes vivant hors du domicile au moins un jour par semaine</t>
  </si>
  <si>
    <t>IDENT</t>
  </si>
  <si>
    <t>Regroupement</t>
  </si>
  <si>
    <t>00</t>
  </si>
  <si>
    <t>Décile1</t>
  </si>
  <si>
    <t>Décile2</t>
  </si>
  <si>
    <t>Décile3</t>
  </si>
  <si>
    <t>Décile4</t>
  </si>
  <si>
    <t>Décile5</t>
  </si>
  <si>
    <t>Décile6</t>
  </si>
  <si>
    <t>Décile7</t>
  </si>
  <si>
    <t>Décile8</t>
  </si>
  <si>
    <t>Décile9</t>
  </si>
  <si>
    <t>Décile10</t>
  </si>
  <si>
    <t>08</t>
  </si>
  <si>
    <t>10</t>
  </si>
  <si>
    <t>0454</t>
  </si>
  <si>
    <t>0220</t>
  </si>
  <si>
    <t>02</t>
  </si>
  <si>
    <t>03</t>
  </si>
  <si>
    <t>06</t>
  </si>
  <si>
    <t>07</t>
  </si>
  <si>
    <t>09</t>
  </si>
  <si>
    <t>04</t>
  </si>
  <si>
    <t>05</t>
  </si>
  <si>
    <t>11</t>
  </si>
  <si>
    <t>12</t>
  </si>
  <si>
    <t>022</t>
  </si>
  <si>
    <t>0820</t>
  </si>
  <si>
    <t>0830</t>
  </si>
  <si>
    <t>1020</t>
  </si>
  <si>
    <t>1040</t>
  </si>
  <si>
    <t>0520</t>
  </si>
  <si>
    <t>0540</t>
  </si>
  <si>
    <t>0810</t>
  </si>
  <si>
    <t>0915</t>
  </si>
  <si>
    <t>1120</t>
  </si>
  <si>
    <t>1240</t>
  </si>
  <si>
    <t>1262</t>
  </si>
  <si>
    <t>1270</t>
  </si>
  <si>
    <t>thermiques</t>
  </si>
  <si>
    <t>092zz</t>
  </si>
  <si>
    <t>073zz</t>
  </si>
  <si>
    <t>051AZ</t>
  </si>
  <si>
    <t>0450</t>
  </si>
  <si>
    <t>0741</t>
  </si>
  <si>
    <t>093AZ</t>
  </si>
  <si>
    <t>127</t>
  </si>
  <si>
    <t>126</t>
  </si>
  <si>
    <t>124</t>
  </si>
  <si>
    <t>112</t>
  </si>
  <si>
    <t>096</t>
  </si>
  <si>
    <t>054</t>
  </si>
  <si>
    <t>052</t>
  </si>
  <si>
    <t>081</t>
  </si>
  <si>
    <t>0455</t>
  </si>
  <si>
    <t>097</t>
  </si>
  <si>
    <t>0441</t>
  </si>
  <si>
    <t>0960</t>
  </si>
  <si>
    <t>1213</t>
  </si>
  <si>
    <t>0321</t>
  </si>
  <si>
    <t>0322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</si>
</sst>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9" x14ac:knownFonts="1">
    <font>
      <sz val="10"/>
      <name val="Arial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start/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3" fontId="0" fillId="0" borderId="0" xfId="0" applyNumberFormat="1"/>
    <xf numFmtId="3" fontId="3" fillId="0" borderId="2" xfId="0" applyNumberFormat="1" applyFont="1" applyFill="1" applyBorder="1" applyAlignment="1">
      <alignment horizontal="center" vertical="center" wrapText="1"/>
    </xf>
    <xf numFmtId="3" fontId="1" fillId="0" borderId="2" xfId="0" applyNumberFormat="1" applyFont="1" applyFill="1" applyBorder="1" applyAlignment="1">
      <alignment horizontal="center" vertical="center" wrapText="1"/>
    </xf>
    <xf numFmtId="3" fontId="1" fillId="0" borderId="3" xfId="0" applyNumberFormat="1" applyFont="1" applyFill="1" applyBorder="1" applyAlignment="1">
      <alignment horizontal="center" vertical="center" wrapText="1"/>
    </xf>
    <xf numFmtId="3" fontId="3" fillId="0" borderId="4" xfId="0" applyNumberFormat="1" applyFont="1" applyFill="1" applyBorder="1" applyAlignment="1">
      <alignment vertical="center"/>
    </xf>
    <xf numFmtId="3" fontId="3" fillId="0" borderId="5" xfId="0" applyNumberFormat="1" applyFont="1" applyFill="1" applyBorder="1" applyAlignment="1">
      <alignment vertical="center"/>
    </xf>
    <xf numFmtId="3" fontId="1" fillId="0" borderId="5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3" fontId="2" fillId="0" borderId="6" xfId="0" applyNumberFormat="1" applyFont="1" applyFill="1" applyBorder="1" applyAlignment="1">
      <alignment horizontal="right" vertical="center"/>
    </xf>
    <xf numFmtId="3" fontId="3" fillId="2" borderId="5" xfId="0" applyNumberFormat="1" applyFont="1" applyFill="1" applyBorder="1" applyAlignment="1">
      <alignment vertical="center"/>
    </xf>
    <xf numFmtId="3" fontId="1" fillId="2" borderId="0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3" fontId="0" fillId="2" borderId="0" xfId="0" applyNumberFormat="1" applyFill="1"/>
    <xf numFmtId="164" fontId="0" fillId="0" borderId="0" xfId="0" applyNumberFormat="1"/>
    <xf numFmtId="164" fontId="0" fillId="0" borderId="0" xfId="0" quotePrefix="1" applyNumberFormat="1"/>
    <xf numFmtId="3" fontId="3" fillId="3" borderId="5" xfId="0" applyNumberFormat="1" applyFont="1" applyFill="1" applyBorder="1" applyAlignment="1">
      <alignment vertical="center"/>
    </xf>
    <xf numFmtId="3" fontId="1" fillId="3" borderId="0" xfId="0" applyNumberFormat="1" applyFont="1" applyFill="1" applyBorder="1" applyAlignment="1">
      <alignment horizontal="right" vertical="center"/>
    </xf>
    <xf numFmtId="3" fontId="1" fillId="3" borderId="1" xfId="0" applyNumberFormat="1" applyFont="1" applyFill="1" applyBorder="1" applyAlignment="1">
      <alignment horizontal="right" vertical="center"/>
    </xf>
    <xf numFmtId="164" fontId="5" fillId="2" borderId="0" xfId="0" quotePrefix="1" applyNumberFormat="1" applyFont="1" applyFill="1"/>
    <xf numFmtId="164" fontId="5" fillId="0" borderId="0" xfId="0" quotePrefix="1" applyNumberFormat="1" applyFont="1"/>
    <xf numFmtId="164" fontId="0" fillId="2" borderId="0" xfId="0" applyNumberFormat="1" applyFill="1"/>
    <xf numFmtId="164" fontId="0" fillId="2" borderId="0" xfId="0" quotePrefix="1" applyNumberFormat="1" applyFill="1"/>
    <xf numFmtId="164" fontId="6" fillId="0" borderId="0" xfId="0" quotePrefix="1" applyNumberFormat="1" applyFont="1"/>
    <xf numFmtId="3" fontId="7" fillId="3" borderId="5" xfId="0" applyNumberFormat="1" applyFont="1" applyFill="1" applyBorder="1" applyAlignment="1">
      <alignment vertical="center"/>
    </xf>
    <xf numFmtId="3" fontId="8" fillId="2" borderId="5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335280</xdr:colOff>
          <xdr:row>0</xdr:row>
          <xdr:rowOff>22860</xdr:rowOff>
        </xdr:from>
        <xdr:to>
          <xdr:col>11</xdr:col>
          <xdr:colOff>48149</xdr:colOff>
          <xdr:row>1</xdr:row>
          <xdr:rowOff>13020</xdr:rowOff>
        </xdr:to>
        <xdr:sp macro="" textlink="">
          <xdr:nvSpPr>
            <xdr:cNvPr id="1025" name="Comment 8" hidden="1"/>
            <xdr:cNvSpPr txBox="1">
              <a:spLocks noChangeArrowheads="1"/>
            </xdr:cNvSpPr>
          </xdr:nvSpPr>
          <xdr:spPr bwMode="auto">
            <a:xfrm>
              <a:off x="9898380" y="22860"/>
              <a:ext cx="375809" cy="15780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DECUC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Relationship Id="rId4" Type="http://purl.oclc.org/ooxml/officeDocument/relationships/comments" Target="../comments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M297"/>
  <sheetViews>
    <sheetView tabSelected="1" workbookViewId="0">
      <pane xSplit="2" ySplit="1" topLeftCell="C83" activePane="bottomRight" state="frozen"/>
      <selection pane="topRight" activeCell="B1" sqref="B1"/>
      <selection pane="bottomLeft" activeCell="A5" sqref="A5"/>
      <selection pane="bottomRight" activeCell="A92" sqref="A92"/>
    </sheetView>
  </sheetViews>
  <sheetFormatPr baseColWidth="10" defaultColWidth="9.109375" defaultRowHeight="13.2" x14ac:dyDescent="0.25"/>
  <cols>
    <col min="1" max="1" width="9.109375" style="1"/>
    <col min="2" max="2" width="50.33203125" style="1" customWidth="1"/>
    <col min="3" max="3" width="12.33203125" style="1" customWidth="1"/>
    <col min="4" max="12" width="9.6640625" style="1" customWidth="1"/>
    <col min="13" max="13" width="10.6640625" style="1" customWidth="1"/>
    <col min="14" max="16384" width="9.109375" style="1"/>
  </cols>
  <sheetData>
    <row r="1" spans="1:13" x14ac:dyDescent="0.25">
      <c r="A1" s="15" t="s">
        <v>296</v>
      </c>
      <c r="B1" s="10" t="s">
        <v>297</v>
      </c>
      <c r="C1" s="2" t="s">
        <v>0</v>
      </c>
      <c r="D1" s="3" t="s">
        <v>299</v>
      </c>
      <c r="E1" s="3" t="s">
        <v>300</v>
      </c>
      <c r="F1" s="3" t="s">
        <v>301</v>
      </c>
      <c r="G1" s="3" t="s">
        <v>302</v>
      </c>
      <c r="H1" s="3" t="s">
        <v>303</v>
      </c>
      <c r="I1" s="3" t="s">
        <v>304</v>
      </c>
      <c r="J1" s="3" t="s">
        <v>305</v>
      </c>
      <c r="K1" s="3" t="s">
        <v>306</v>
      </c>
      <c r="L1" s="3" t="s">
        <v>307</v>
      </c>
      <c r="M1" s="4" t="s">
        <v>308</v>
      </c>
    </row>
    <row r="2" spans="1:13" x14ac:dyDescent="0.25">
      <c r="A2" s="16" t="s">
        <v>298</v>
      </c>
      <c r="B2" s="5" t="s">
        <v>1</v>
      </c>
      <c r="C2" s="8">
        <v>27408</v>
      </c>
      <c r="D2" s="8">
        <v>16123</v>
      </c>
      <c r="E2" s="8">
        <v>18322</v>
      </c>
      <c r="F2" s="8">
        <v>20071</v>
      </c>
      <c r="G2" s="8">
        <v>22638</v>
      </c>
      <c r="H2" s="8">
        <v>23787</v>
      </c>
      <c r="I2" s="8">
        <v>27081</v>
      </c>
      <c r="J2" s="8">
        <v>29059</v>
      </c>
      <c r="K2" s="8">
        <v>32645</v>
      </c>
      <c r="L2" s="8">
        <v>35867</v>
      </c>
      <c r="M2" s="9">
        <v>48353</v>
      </c>
    </row>
    <row r="3" spans="1:13" x14ac:dyDescent="0.25">
      <c r="A3" s="15" t="str">
        <f>LEFT(B3,3)</f>
        <v xml:space="preserve">01 </v>
      </c>
      <c r="B3" s="6" t="s">
        <v>2</v>
      </c>
      <c r="C3" s="8">
        <v>4410</v>
      </c>
      <c r="D3" s="8">
        <v>2863</v>
      </c>
      <c r="E3" s="8">
        <v>3436</v>
      </c>
      <c r="F3" s="8">
        <v>3539</v>
      </c>
      <c r="G3" s="8">
        <v>4098</v>
      </c>
      <c r="H3" s="8">
        <v>4042</v>
      </c>
      <c r="I3" s="8">
        <v>4403</v>
      </c>
      <c r="J3" s="8">
        <v>4536</v>
      </c>
      <c r="K3" s="8">
        <v>5174</v>
      </c>
      <c r="L3" s="8">
        <v>5436</v>
      </c>
      <c r="M3" s="9">
        <v>6559</v>
      </c>
    </row>
    <row r="4" spans="1:13" x14ac:dyDescent="0.25">
      <c r="A4" s="15" t="str">
        <f t="shared" ref="A4" si="0">LEFT(B4,3)</f>
        <v>011</v>
      </c>
      <c r="B4" s="6" t="s">
        <v>3</v>
      </c>
      <c r="C4" s="8">
        <v>3898</v>
      </c>
      <c r="D4" s="8">
        <v>2531</v>
      </c>
      <c r="E4" s="8">
        <v>3061</v>
      </c>
      <c r="F4" s="8">
        <v>3148</v>
      </c>
      <c r="G4" s="8">
        <v>3672</v>
      </c>
      <c r="H4" s="8">
        <v>3590</v>
      </c>
      <c r="I4" s="8">
        <v>3888</v>
      </c>
      <c r="J4" s="8">
        <v>3987</v>
      </c>
      <c r="K4" s="8">
        <v>4571</v>
      </c>
      <c r="L4" s="8">
        <v>4784</v>
      </c>
      <c r="M4" s="9">
        <v>5735</v>
      </c>
    </row>
    <row r="5" spans="1:13" x14ac:dyDescent="0.25">
      <c r="A5" s="15" t="str">
        <f>LEFT(B5,4)</f>
        <v>0111</v>
      </c>
      <c r="B5" s="6" t="s">
        <v>4</v>
      </c>
      <c r="C5" s="8">
        <v>786</v>
      </c>
      <c r="D5" s="8">
        <v>563</v>
      </c>
      <c r="E5" s="8">
        <v>655</v>
      </c>
      <c r="F5" s="8">
        <v>679</v>
      </c>
      <c r="G5" s="8">
        <v>734</v>
      </c>
      <c r="H5" s="8">
        <v>770</v>
      </c>
      <c r="I5" s="8">
        <v>793</v>
      </c>
      <c r="J5" s="8">
        <v>827</v>
      </c>
      <c r="K5" s="8">
        <v>911</v>
      </c>
      <c r="L5" s="8">
        <v>901</v>
      </c>
      <c r="M5" s="9">
        <v>1026</v>
      </c>
    </row>
    <row r="6" spans="1:13" x14ac:dyDescent="0.25">
      <c r="A6" s="15" t="str">
        <f>LEFT(B6,5)</f>
        <v>01111</v>
      </c>
      <c r="B6" s="7" t="s">
        <v>5</v>
      </c>
      <c r="C6" s="8">
        <v>31</v>
      </c>
      <c r="D6" s="8">
        <v>31</v>
      </c>
      <c r="E6" s="8">
        <v>30</v>
      </c>
      <c r="F6" s="8">
        <v>26</v>
      </c>
      <c r="G6" s="8">
        <v>28</v>
      </c>
      <c r="H6" s="8">
        <v>29</v>
      </c>
      <c r="I6" s="8">
        <v>32</v>
      </c>
      <c r="J6" s="8">
        <v>30</v>
      </c>
      <c r="K6" s="8">
        <v>34</v>
      </c>
      <c r="L6" s="8">
        <v>33</v>
      </c>
      <c r="M6" s="9">
        <v>35</v>
      </c>
    </row>
    <row r="7" spans="1:13" x14ac:dyDescent="0.25">
      <c r="A7" s="15" t="str">
        <f t="shared" ref="A7:A10" si="1">LEFT(B7,5)</f>
        <v>01112</v>
      </c>
      <c r="B7" s="7" t="s">
        <v>6</v>
      </c>
      <c r="C7" s="8">
        <v>496</v>
      </c>
      <c r="D7" s="8">
        <v>341</v>
      </c>
      <c r="E7" s="8">
        <v>407</v>
      </c>
      <c r="F7" s="8">
        <v>431</v>
      </c>
      <c r="G7" s="8">
        <v>461</v>
      </c>
      <c r="H7" s="8">
        <v>483</v>
      </c>
      <c r="I7" s="8">
        <v>511</v>
      </c>
      <c r="J7" s="8">
        <v>510</v>
      </c>
      <c r="K7" s="8">
        <v>578</v>
      </c>
      <c r="L7" s="8">
        <v>567</v>
      </c>
      <c r="M7" s="9">
        <v>665</v>
      </c>
    </row>
    <row r="8" spans="1:13" x14ac:dyDescent="0.25">
      <c r="A8" s="15" t="str">
        <f t="shared" si="1"/>
        <v>01113</v>
      </c>
      <c r="B8" s="7" t="s">
        <v>7</v>
      </c>
      <c r="C8" s="8">
        <v>62</v>
      </c>
      <c r="D8" s="8">
        <v>45</v>
      </c>
      <c r="E8" s="8">
        <v>50</v>
      </c>
      <c r="F8" s="8">
        <v>51</v>
      </c>
      <c r="G8" s="8">
        <v>56</v>
      </c>
      <c r="H8" s="8">
        <v>58</v>
      </c>
      <c r="I8" s="8">
        <v>56</v>
      </c>
      <c r="J8" s="8">
        <v>66</v>
      </c>
      <c r="K8" s="8">
        <v>76</v>
      </c>
      <c r="L8" s="8">
        <v>74</v>
      </c>
      <c r="M8" s="9">
        <v>84</v>
      </c>
    </row>
    <row r="9" spans="1:13" x14ac:dyDescent="0.25">
      <c r="A9" s="15" t="str">
        <f t="shared" si="1"/>
        <v>01114</v>
      </c>
      <c r="B9" s="7" t="s">
        <v>8</v>
      </c>
      <c r="C9" s="8">
        <v>145</v>
      </c>
      <c r="D9" s="8">
        <v>105</v>
      </c>
      <c r="E9" s="8">
        <v>120</v>
      </c>
      <c r="F9" s="8">
        <v>122</v>
      </c>
      <c r="G9" s="8">
        <v>144</v>
      </c>
      <c r="H9" s="8">
        <v>151</v>
      </c>
      <c r="I9" s="8">
        <v>147</v>
      </c>
      <c r="J9" s="8">
        <v>159</v>
      </c>
      <c r="K9" s="8">
        <v>163</v>
      </c>
      <c r="L9" s="8">
        <v>163</v>
      </c>
      <c r="M9" s="9">
        <v>172</v>
      </c>
    </row>
    <row r="10" spans="1:13" x14ac:dyDescent="0.25">
      <c r="A10" s="15" t="str">
        <f t="shared" si="1"/>
        <v>01115</v>
      </c>
      <c r="B10" s="7" t="s">
        <v>9</v>
      </c>
      <c r="C10" s="8">
        <v>53</v>
      </c>
      <c r="D10" s="8">
        <v>41</v>
      </c>
      <c r="E10" s="8">
        <v>47</v>
      </c>
      <c r="F10" s="8">
        <v>48</v>
      </c>
      <c r="G10" s="8">
        <v>43</v>
      </c>
      <c r="H10" s="8">
        <v>50</v>
      </c>
      <c r="I10" s="8">
        <v>48</v>
      </c>
      <c r="J10" s="8">
        <v>63</v>
      </c>
      <c r="K10" s="8">
        <v>59</v>
      </c>
      <c r="L10" s="8">
        <v>65</v>
      </c>
      <c r="M10" s="9">
        <v>69</v>
      </c>
    </row>
    <row r="11" spans="1:13" x14ac:dyDescent="0.25">
      <c r="A11" s="15" t="str">
        <f t="shared" ref="A11:A69" si="2">LEFT(B11,4)</f>
        <v>0112</v>
      </c>
      <c r="B11" s="6" t="s">
        <v>10</v>
      </c>
      <c r="C11" s="8">
        <v>957</v>
      </c>
      <c r="D11" s="8">
        <v>605</v>
      </c>
      <c r="E11" s="8">
        <v>772</v>
      </c>
      <c r="F11" s="8">
        <v>784</v>
      </c>
      <c r="G11" s="8">
        <v>970</v>
      </c>
      <c r="H11" s="8">
        <v>901</v>
      </c>
      <c r="I11" s="8">
        <v>1001</v>
      </c>
      <c r="J11" s="8">
        <v>1008</v>
      </c>
      <c r="K11" s="8">
        <v>1090</v>
      </c>
      <c r="L11" s="8">
        <v>1138</v>
      </c>
      <c r="M11" s="9">
        <v>1302</v>
      </c>
    </row>
    <row r="12" spans="1:13" x14ac:dyDescent="0.25">
      <c r="A12" s="15" t="str">
        <f>LEFT(B12,5)</f>
        <v>01121</v>
      </c>
      <c r="B12" s="7" t="s">
        <v>11</v>
      </c>
      <c r="C12" s="8">
        <v>255</v>
      </c>
      <c r="D12" s="8">
        <v>160</v>
      </c>
      <c r="E12" s="8">
        <v>194</v>
      </c>
      <c r="F12" s="8">
        <v>201</v>
      </c>
      <c r="G12" s="8">
        <v>266</v>
      </c>
      <c r="H12" s="8">
        <v>219</v>
      </c>
      <c r="I12" s="8">
        <v>264</v>
      </c>
      <c r="J12" s="8">
        <v>274</v>
      </c>
      <c r="K12" s="8">
        <v>277</v>
      </c>
      <c r="L12" s="8">
        <v>320</v>
      </c>
      <c r="M12" s="9">
        <v>372</v>
      </c>
    </row>
    <row r="13" spans="1:13" x14ac:dyDescent="0.25">
      <c r="A13" s="15" t="str">
        <f t="shared" ref="A13:A18" si="3">LEFT(B13,5)</f>
        <v>01122</v>
      </c>
      <c r="B13" s="7" t="s">
        <v>12</v>
      </c>
      <c r="C13" s="8">
        <v>75</v>
      </c>
      <c r="D13" s="8">
        <v>51</v>
      </c>
      <c r="E13" s="8">
        <v>53</v>
      </c>
      <c r="F13" s="8">
        <v>71</v>
      </c>
      <c r="G13" s="8">
        <v>83</v>
      </c>
      <c r="H13" s="8">
        <v>72</v>
      </c>
      <c r="I13" s="8">
        <v>80</v>
      </c>
      <c r="J13" s="8">
        <v>78</v>
      </c>
      <c r="K13" s="8">
        <v>96</v>
      </c>
      <c r="L13" s="8">
        <v>83</v>
      </c>
      <c r="M13" s="9">
        <v>82</v>
      </c>
    </row>
    <row r="14" spans="1:13" x14ac:dyDescent="0.25">
      <c r="A14" s="15" t="str">
        <f t="shared" si="3"/>
        <v>01123</v>
      </c>
      <c r="B14" s="7" t="s">
        <v>13</v>
      </c>
      <c r="C14" s="8">
        <v>32</v>
      </c>
      <c r="D14" s="8">
        <v>22</v>
      </c>
      <c r="E14" s="8">
        <v>49</v>
      </c>
      <c r="F14" s="8">
        <v>22</v>
      </c>
      <c r="G14" s="8">
        <v>29</v>
      </c>
      <c r="H14" s="8">
        <v>23</v>
      </c>
      <c r="I14" s="8">
        <v>28</v>
      </c>
      <c r="J14" s="8">
        <v>31</v>
      </c>
      <c r="K14" s="8">
        <v>34</v>
      </c>
      <c r="L14" s="8">
        <v>43</v>
      </c>
      <c r="M14" s="9">
        <v>41</v>
      </c>
    </row>
    <row r="15" spans="1:13" x14ac:dyDescent="0.25">
      <c r="A15" s="15" t="str">
        <f t="shared" si="3"/>
        <v>01124</v>
      </c>
      <c r="B15" s="7" t="s">
        <v>14</v>
      </c>
      <c r="C15" s="8">
        <v>159</v>
      </c>
      <c r="D15" s="8">
        <v>109</v>
      </c>
      <c r="E15" s="8">
        <v>141</v>
      </c>
      <c r="F15" s="8">
        <v>123</v>
      </c>
      <c r="G15" s="8">
        <v>147</v>
      </c>
      <c r="H15" s="8">
        <v>154</v>
      </c>
      <c r="I15" s="8">
        <v>169</v>
      </c>
      <c r="J15" s="8">
        <v>175</v>
      </c>
      <c r="K15" s="8">
        <v>174</v>
      </c>
      <c r="L15" s="8">
        <v>175</v>
      </c>
      <c r="M15" s="9">
        <v>222</v>
      </c>
    </row>
    <row r="16" spans="1:13" x14ac:dyDescent="0.25">
      <c r="A16" s="15" t="str">
        <f t="shared" si="3"/>
        <v>01125</v>
      </c>
      <c r="B16" s="7" t="s">
        <v>15</v>
      </c>
      <c r="C16" s="8">
        <v>314</v>
      </c>
      <c r="D16" s="8">
        <v>183</v>
      </c>
      <c r="E16" s="8">
        <v>237</v>
      </c>
      <c r="F16" s="8">
        <v>277</v>
      </c>
      <c r="G16" s="8">
        <v>328</v>
      </c>
      <c r="H16" s="8">
        <v>308</v>
      </c>
      <c r="I16" s="8">
        <v>329</v>
      </c>
      <c r="J16" s="8">
        <v>327</v>
      </c>
      <c r="K16" s="8">
        <v>358</v>
      </c>
      <c r="L16" s="8">
        <v>372</v>
      </c>
      <c r="M16" s="9">
        <v>422</v>
      </c>
    </row>
    <row r="17" spans="1:13" x14ac:dyDescent="0.25">
      <c r="A17" s="15" t="str">
        <f>LEFT(B17,5)</f>
        <v>01126</v>
      </c>
      <c r="B17" s="7" t="s">
        <v>16</v>
      </c>
      <c r="C17" s="8">
        <v>111</v>
      </c>
      <c r="D17" s="8">
        <v>72</v>
      </c>
      <c r="E17" s="8">
        <v>88</v>
      </c>
      <c r="F17" s="8">
        <v>84</v>
      </c>
      <c r="G17" s="8">
        <v>106</v>
      </c>
      <c r="H17" s="8">
        <v>115</v>
      </c>
      <c r="I17" s="8">
        <v>116</v>
      </c>
      <c r="J17" s="8">
        <v>113</v>
      </c>
      <c r="K17" s="8">
        <v>130</v>
      </c>
      <c r="L17" s="8">
        <v>132</v>
      </c>
      <c r="M17" s="9">
        <v>149</v>
      </c>
    </row>
    <row r="18" spans="1:13" x14ac:dyDescent="0.25">
      <c r="A18" s="15" t="str">
        <f t="shared" si="3"/>
        <v>01127</v>
      </c>
      <c r="B18" s="7" t="s">
        <v>17</v>
      </c>
      <c r="C18" s="8">
        <v>12</v>
      </c>
      <c r="D18" s="8">
        <v>8</v>
      </c>
      <c r="E18" s="8">
        <v>10</v>
      </c>
      <c r="F18" s="8">
        <v>6</v>
      </c>
      <c r="G18" s="8">
        <v>11</v>
      </c>
      <c r="H18" s="8">
        <v>9</v>
      </c>
      <c r="I18" s="8">
        <v>15</v>
      </c>
      <c r="J18" s="8">
        <v>11</v>
      </c>
      <c r="K18" s="8">
        <v>20</v>
      </c>
      <c r="L18" s="8">
        <v>14</v>
      </c>
      <c r="M18" s="9">
        <v>15</v>
      </c>
    </row>
    <row r="19" spans="1:13" x14ac:dyDescent="0.25">
      <c r="A19" s="15" t="str">
        <f t="shared" si="2"/>
        <v>0113</v>
      </c>
      <c r="B19" s="6" t="s">
        <v>18</v>
      </c>
      <c r="C19" s="8">
        <v>297</v>
      </c>
      <c r="D19" s="8">
        <v>162</v>
      </c>
      <c r="E19" s="8">
        <v>184</v>
      </c>
      <c r="F19" s="8">
        <v>198</v>
      </c>
      <c r="G19" s="8">
        <v>251</v>
      </c>
      <c r="H19" s="8">
        <v>240</v>
      </c>
      <c r="I19" s="8">
        <v>296</v>
      </c>
      <c r="J19" s="8">
        <v>282</v>
      </c>
      <c r="K19" s="8">
        <v>357</v>
      </c>
      <c r="L19" s="8">
        <v>421</v>
      </c>
      <c r="M19" s="9">
        <v>583</v>
      </c>
    </row>
    <row r="20" spans="1:13" x14ac:dyDescent="0.25">
      <c r="A20" s="15" t="str">
        <f t="shared" ref="A20:A51" si="4">LEFT(B20,5)</f>
        <v>01130</v>
      </c>
      <c r="B20" s="7" t="s">
        <v>19</v>
      </c>
      <c r="C20" s="8">
        <v>111</v>
      </c>
      <c r="D20" s="8">
        <v>59</v>
      </c>
      <c r="E20" s="8">
        <v>68</v>
      </c>
      <c r="F20" s="8">
        <v>74</v>
      </c>
      <c r="G20" s="8">
        <v>105</v>
      </c>
      <c r="H20" s="8">
        <v>85</v>
      </c>
      <c r="I20" s="8">
        <v>102</v>
      </c>
      <c r="J20" s="8">
        <v>96</v>
      </c>
      <c r="K20" s="8">
        <v>119</v>
      </c>
      <c r="L20" s="8">
        <v>164</v>
      </c>
      <c r="M20" s="9">
        <v>236</v>
      </c>
    </row>
    <row r="21" spans="1:13" x14ac:dyDescent="0.25">
      <c r="A21" s="15" t="str">
        <f t="shared" si="4"/>
        <v>01131</v>
      </c>
      <c r="B21" s="7" t="s">
        <v>20</v>
      </c>
      <c r="C21" s="8">
        <v>19</v>
      </c>
      <c r="D21" s="8">
        <v>13</v>
      </c>
      <c r="E21" s="8">
        <v>13</v>
      </c>
      <c r="F21" s="8">
        <v>11</v>
      </c>
      <c r="G21" s="8">
        <v>15</v>
      </c>
      <c r="H21" s="8">
        <v>18</v>
      </c>
      <c r="I21" s="8">
        <v>21</v>
      </c>
      <c r="J21" s="8">
        <v>19</v>
      </c>
      <c r="K21" s="8">
        <v>30</v>
      </c>
      <c r="L21" s="8">
        <v>21</v>
      </c>
      <c r="M21" s="9">
        <v>28</v>
      </c>
    </row>
    <row r="22" spans="1:13" x14ac:dyDescent="0.25">
      <c r="A22" s="15" t="str">
        <f t="shared" si="4"/>
        <v>01132</v>
      </c>
      <c r="B22" s="7" t="s">
        <v>21</v>
      </c>
      <c r="C22" s="8">
        <v>59</v>
      </c>
      <c r="D22" s="8">
        <v>25</v>
      </c>
      <c r="E22" s="8">
        <v>29</v>
      </c>
      <c r="F22" s="8">
        <v>35</v>
      </c>
      <c r="G22" s="8">
        <v>46</v>
      </c>
      <c r="H22" s="8">
        <v>48</v>
      </c>
      <c r="I22" s="8">
        <v>68</v>
      </c>
      <c r="J22" s="8">
        <v>57</v>
      </c>
      <c r="K22" s="8">
        <v>70</v>
      </c>
      <c r="L22" s="8">
        <v>93</v>
      </c>
      <c r="M22" s="9">
        <v>119</v>
      </c>
    </row>
    <row r="23" spans="1:13" x14ac:dyDescent="0.25">
      <c r="A23" s="15" t="str">
        <f t="shared" si="4"/>
        <v>01133</v>
      </c>
      <c r="B23" s="7" t="s">
        <v>22</v>
      </c>
      <c r="C23" s="8">
        <v>24</v>
      </c>
      <c r="D23" s="8">
        <v>12</v>
      </c>
      <c r="E23" s="8">
        <v>9</v>
      </c>
      <c r="F23" s="8">
        <v>15</v>
      </c>
      <c r="G23" s="8">
        <v>17</v>
      </c>
      <c r="H23" s="8">
        <v>17</v>
      </c>
      <c r="I23" s="8">
        <v>24</v>
      </c>
      <c r="J23" s="8">
        <v>22</v>
      </c>
      <c r="K23" s="8">
        <v>39</v>
      </c>
      <c r="L23" s="8">
        <v>36</v>
      </c>
      <c r="M23" s="9">
        <v>49</v>
      </c>
    </row>
    <row r="24" spans="1:13" x14ac:dyDescent="0.25">
      <c r="A24" s="15" t="str">
        <f t="shared" si="4"/>
        <v>01134</v>
      </c>
      <c r="B24" s="7" t="s">
        <v>23</v>
      </c>
      <c r="C24" s="8">
        <v>85</v>
      </c>
      <c r="D24" s="8">
        <v>53</v>
      </c>
      <c r="E24" s="8">
        <v>65</v>
      </c>
      <c r="F24" s="8">
        <v>63</v>
      </c>
      <c r="G24" s="8">
        <v>69</v>
      </c>
      <c r="H24" s="8">
        <v>72</v>
      </c>
      <c r="I24" s="8">
        <v>81</v>
      </c>
      <c r="J24" s="8">
        <v>89</v>
      </c>
      <c r="K24" s="8">
        <v>99</v>
      </c>
      <c r="L24" s="8">
        <v>106</v>
      </c>
      <c r="M24" s="9">
        <v>150</v>
      </c>
    </row>
    <row r="25" spans="1:13" x14ac:dyDescent="0.25">
      <c r="A25" s="15" t="str">
        <f t="shared" si="2"/>
        <v>0114</v>
      </c>
      <c r="B25" s="6" t="s">
        <v>24</v>
      </c>
      <c r="C25" s="8">
        <v>572</v>
      </c>
      <c r="D25" s="8">
        <v>377</v>
      </c>
      <c r="E25" s="8">
        <v>445</v>
      </c>
      <c r="F25" s="8">
        <v>473</v>
      </c>
      <c r="G25" s="8">
        <v>542</v>
      </c>
      <c r="H25" s="8">
        <v>546</v>
      </c>
      <c r="I25" s="8">
        <v>558</v>
      </c>
      <c r="J25" s="8">
        <v>599</v>
      </c>
      <c r="K25" s="8">
        <v>677</v>
      </c>
      <c r="L25" s="8">
        <v>678</v>
      </c>
      <c r="M25" s="9">
        <v>822</v>
      </c>
    </row>
    <row r="26" spans="1:13" x14ac:dyDescent="0.25">
      <c r="A26" s="15" t="str">
        <f t="shared" si="4"/>
        <v>01145</v>
      </c>
      <c r="B26" s="7" t="s">
        <v>25</v>
      </c>
      <c r="C26" s="8">
        <v>278</v>
      </c>
      <c r="D26" s="8">
        <v>170</v>
      </c>
      <c r="E26" s="8">
        <v>205</v>
      </c>
      <c r="F26" s="8">
        <v>209</v>
      </c>
      <c r="G26" s="8">
        <v>254</v>
      </c>
      <c r="H26" s="8">
        <v>263</v>
      </c>
      <c r="I26" s="8">
        <v>267</v>
      </c>
      <c r="J26" s="8">
        <v>300</v>
      </c>
      <c r="K26" s="8">
        <v>333</v>
      </c>
      <c r="L26" s="8">
        <v>333</v>
      </c>
      <c r="M26" s="9">
        <v>442</v>
      </c>
    </row>
    <row r="27" spans="1:13" x14ac:dyDescent="0.25">
      <c r="A27" s="15" t="str">
        <f t="shared" si="4"/>
        <v>01147</v>
      </c>
      <c r="B27" s="7" t="s">
        <v>26</v>
      </c>
      <c r="C27" s="8">
        <v>45</v>
      </c>
      <c r="D27" s="8">
        <v>32</v>
      </c>
      <c r="E27" s="8">
        <v>35</v>
      </c>
      <c r="F27" s="8">
        <v>37</v>
      </c>
      <c r="G27" s="8">
        <v>39</v>
      </c>
      <c r="H27" s="8">
        <v>41</v>
      </c>
      <c r="I27" s="8">
        <v>42</v>
      </c>
      <c r="J27" s="8">
        <v>43</v>
      </c>
      <c r="K27" s="8">
        <v>61</v>
      </c>
      <c r="L27" s="8">
        <v>54</v>
      </c>
      <c r="M27" s="9">
        <v>66</v>
      </c>
    </row>
    <row r="28" spans="1:13" x14ac:dyDescent="0.25">
      <c r="A28" s="15" t="str">
        <f t="shared" si="4"/>
        <v>0114A</v>
      </c>
      <c r="B28" s="7" t="s">
        <v>27</v>
      </c>
      <c r="C28" s="8">
        <v>73</v>
      </c>
      <c r="D28" s="8">
        <v>60</v>
      </c>
      <c r="E28" s="8">
        <v>70</v>
      </c>
      <c r="F28" s="8">
        <v>77</v>
      </c>
      <c r="G28" s="8">
        <v>80</v>
      </c>
      <c r="H28" s="8">
        <v>71</v>
      </c>
      <c r="I28" s="8">
        <v>72</v>
      </c>
      <c r="J28" s="8">
        <v>70</v>
      </c>
      <c r="K28" s="8">
        <v>73</v>
      </c>
      <c r="L28" s="8">
        <v>70</v>
      </c>
      <c r="M28" s="9">
        <v>82</v>
      </c>
    </row>
    <row r="29" spans="1:13" x14ac:dyDescent="0.25">
      <c r="A29" s="15" t="str">
        <f t="shared" si="4"/>
        <v>0114B</v>
      </c>
      <c r="B29" s="7" t="s">
        <v>28</v>
      </c>
      <c r="C29" s="8">
        <v>177</v>
      </c>
      <c r="D29" s="8">
        <v>115</v>
      </c>
      <c r="E29" s="8">
        <v>135</v>
      </c>
      <c r="F29" s="8">
        <v>150</v>
      </c>
      <c r="G29" s="8">
        <v>169</v>
      </c>
      <c r="H29" s="8">
        <v>171</v>
      </c>
      <c r="I29" s="8">
        <v>177</v>
      </c>
      <c r="J29" s="8">
        <v>186</v>
      </c>
      <c r="K29" s="8">
        <v>210</v>
      </c>
      <c r="L29" s="8">
        <v>221</v>
      </c>
      <c r="M29" s="9">
        <v>231</v>
      </c>
    </row>
    <row r="30" spans="1:13" x14ac:dyDescent="0.25">
      <c r="A30" s="15" t="str">
        <f t="shared" si="2"/>
        <v>0115</v>
      </c>
      <c r="B30" s="6" t="s">
        <v>29</v>
      </c>
      <c r="C30" s="8">
        <v>90</v>
      </c>
      <c r="D30" s="8">
        <v>67</v>
      </c>
      <c r="E30" s="8">
        <v>80</v>
      </c>
      <c r="F30" s="8">
        <v>79</v>
      </c>
      <c r="G30" s="8">
        <v>91</v>
      </c>
      <c r="H30" s="8">
        <v>89</v>
      </c>
      <c r="I30" s="8">
        <v>95</v>
      </c>
      <c r="J30" s="8">
        <v>84</v>
      </c>
      <c r="K30" s="8">
        <v>92</v>
      </c>
      <c r="L30" s="8">
        <v>109</v>
      </c>
      <c r="M30" s="9">
        <v>112</v>
      </c>
    </row>
    <row r="31" spans="1:13" x14ac:dyDescent="0.25">
      <c r="A31" s="15" t="str">
        <f t="shared" si="4"/>
        <v>01151</v>
      </c>
      <c r="B31" s="7" t="s">
        <v>30</v>
      </c>
      <c r="C31" s="8">
        <v>41</v>
      </c>
      <c r="D31" s="8">
        <v>28</v>
      </c>
      <c r="E31" s="8">
        <v>33</v>
      </c>
      <c r="F31" s="8">
        <v>39</v>
      </c>
      <c r="G31" s="8">
        <v>45</v>
      </c>
      <c r="H31" s="8">
        <v>39</v>
      </c>
      <c r="I31" s="8">
        <v>43</v>
      </c>
      <c r="J31" s="8">
        <v>43</v>
      </c>
      <c r="K31" s="8">
        <v>47</v>
      </c>
      <c r="L31" s="8">
        <v>48</v>
      </c>
      <c r="M31" s="9">
        <v>48</v>
      </c>
    </row>
    <row r="32" spans="1:13" x14ac:dyDescent="0.25">
      <c r="A32" s="15" t="str">
        <f t="shared" si="4"/>
        <v>0115A</v>
      </c>
      <c r="B32" s="7" t="s">
        <v>31</v>
      </c>
      <c r="C32" s="8">
        <v>35</v>
      </c>
      <c r="D32" s="8">
        <v>31</v>
      </c>
      <c r="E32" s="8">
        <v>33</v>
      </c>
      <c r="F32" s="8">
        <v>27</v>
      </c>
      <c r="G32" s="8">
        <v>32</v>
      </c>
      <c r="H32" s="8">
        <v>35</v>
      </c>
      <c r="I32" s="8">
        <v>37</v>
      </c>
      <c r="J32" s="8">
        <v>30</v>
      </c>
      <c r="K32" s="8">
        <v>31</v>
      </c>
      <c r="L32" s="8">
        <v>47</v>
      </c>
      <c r="M32" s="9">
        <v>53</v>
      </c>
    </row>
    <row r="33" spans="1:13" x14ac:dyDescent="0.25">
      <c r="A33" s="15" t="str">
        <f t="shared" si="4"/>
        <v>0115B</v>
      </c>
      <c r="B33" s="7" t="s">
        <v>32</v>
      </c>
      <c r="C33" s="8">
        <v>13</v>
      </c>
      <c r="D33" s="8">
        <v>7</v>
      </c>
      <c r="E33" s="8">
        <v>14</v>
      </c>
      <c r="F33" s="8">
        <v>13</v>
      </c>
      <c r="G33" s="8">
        <v>14</v>
      </c>
      <c r="H33" s="8">
        <v>14</v>
      </c>
      <c r="I33" s="8">
        <v>15</v>
      </c>
      <c r="J33" s="8">
        <v>12</v>
      </c>
      <c r="K33" s="8">
        <v>13</v>
      </c>
      <c r="L33" s="8">
        <v>14</v>
      </c>
      <c r="M33" s="9">
        <v>10</v>
      </c>
    </row>
    <row r="34" spans="1:13" x14ac:dyDescent="0.25">
      <c r="A34" s="15" t="str">
        <f t="shared" si="2"/>
        <v>0116</v>
      </c>
      <c r="B34" s="6" t="s">
        <v>33</v>
      </c>
      <c r="C34" s="8">
        <v>336</v>
      </c>
      <c r="D34" s="8">
        <v>207</v>
      </c>
      <c r="E34" s="8">
        <v>242</v>
      </c>
      <c r="F34" s="8">
        <v>247</v>
      </c>
      <c r="G34" s="8">
        <v>291</v>
      </c>
      <c r="H34" s="8">
        <v>263</v>
      </c>
      <c r="I34" s="8">
        <v>299</v>
      </c>
      <c r="J34" s="8">
        <v>360</v>
      </c>
      <c r="K34" s="8">
        <v>397</v>
      </c>
      <c r="L34" s="8">
        <v>455</v>
      </c>
      <c r="M34" s="9">
        <v>596</v>
      </c>
    </row>
    <row r="35" spans="1:13" x14ac:dyDescent="0.25">
      <c r="A35" s="15" t="str">
        <f t="shared" si="4"/>
        <v>01161</v>
      </c>
      <c r="B35" s="7" t="s">
        <v>34</v>
      </c>
      <c r="C35" s="8">
        <v>62</v>
      </c>
      <c r="D35" s="8">
        <v>36</v>
      </c>
      <c r="E35" s="8">
        <v>41</v>
      </c>
      <c r="F35" s="8">
        <v>42</v>
      </c>
      <c r="G35" s="8">
        <v>54</v>
      </c>
      <c r="H35" s="8">
        <v>51</v>
      </c>
      <c r="I35" s="8">
        <v>59</v>
      </c>
      <c r="J35" s="8">
        <v>65</v>
      </c>
      <c r="K35" s="8">
        <v>73</v>
      </c>
      <c r="L35" s="8">
        <v>87</v>
      </c>
      <c r="M35" s="9">
        <v>113</v>
      </c>
    </row>
    <row r="36" spans="1:13" x14ac:dyDescent="0.25">
      <c r="A36" s="15" t="str">
        <f t="shared" si="4"/>
        <v>01162</v>
      </c>
      <c r="B36" s="7" t="s">
        <v>35</v>
      </c>
      <c r="C36" s="8">
        <v>27</v>
      </c>
      <c r="D36" s="8">
        <v>24</v>
      </c>
      <c r="E36" s="8">
        <v>25</v>
      </c>
      <c r="F36" s="8">
        <v>25</v>
      </c>
      <c r="G36" s="8">
        <v>31</v>
      </c>
      <c r="H36" s="8">
        <v>23</v>
      </c>
      <c r="I36" s="8">
        <v>24</v>
      </c>
      <c r="J36" s="8">
        <v>27</v>
      </c>
      <c r="K36" s="8">
        <v>32</v>
      </c>
      <c r="L36" s="8">
        <v>30</v>
      </c>
      <c r="M36" s="9">
        <v>33</v>
      </c>
    </row>
    <row r="37" spans="1:13" x14ac:dyDescent="0.25">
      <c r="A37" s="15" t="str">
        <f t="shared" si="4"/>
        <v>01168</v>
      </c>
      <c r="B37" s="7" t="s">
        <v>36</v>
      </c>
      <c r="C37" s="8">
        <v>47</v>
      </c>
      <c r="D37" s="8">
        <v>32</v>
      </c>
      <c r="E37" s="8">
        <v>38</v>
      </c>
      <c r="F37" s="8">
        <v>34</v>
      </c>
      <c r="G37" s="8">
        <v>36</v>
      </c>
      <c r="H37" s="8">
        <v>39</v>
      </c>
      <c r="I37" s="8">
        <v>37</v>
      </c>
      <c r="J37" s="8">
        <v>44</v>
      </c>
      <c r="K37" s="8">
        <v>57</v>
      </c>
      <c r="L37" s="8">
        <v>68</v>
      </c>
      <c r="M37" s="9">
        <v>87</v>
      </c>
    </row>
    <row r="38" spans="1:13" x14ac:dyDescent="0.25">
      <c r="A38" s="15" t="str">
        <f t="shared" si="4"/>
        <v>01169</v>
      </c>
      <c r="B38" s="7" t="s">
        <v>37</v>
      </c>
      <c r="C38" s="8">
        <v>7</v>
      </c>
      <c r="D38" s="8">
        <v>3</v>
      </c>
      <c r="E38" s="8">
        <v>3</v>
      </c>
      <c r="F38" s="8">
        <v>4</v>
      </c>
      <c r="G38" s="8">
        <v>8</v>
      </c>
      <c r="H38" s="8">
        <v>8</v>
      </c>
      <c r="I38" s="8">
        <v>9</v>
      </c>
      <c r="J38" s="8">
        <v>10</v>
      </c>
      <c r="K38" s="8">
        <v>9</v>
      </c>
      <c r="L38" s="8">
        <v>11</v>
      </c>
      <c r="M38" s="9">
        <v>10</v>
      </c>
    </row>
    <row r="39" spans="1:13" x14ac:dyDescent="0.25">
      <c r="A39" s="15" t="str">
        <f t="shared" si="4"/>
        <v>0116A</v>
      </c>
      <c r="B39" s="7" t="s">
        <v>38</v>
      </c>
      <c r="C39" s="8">
        <v>191</v>
      </c>
      <c r="D39" s="8">
        <v>112</v>
      </c>
      <c r="E39" s="8">
        <v>134</v>
      </c>
      <c r="F39" s="8">
        <v>142</v>
      </c>
      <c r="G39" s="8">
        <v>161</v>
      </c>
      <c r="H39" s="8">
        <v>142</v>
      </c>
      <c r="I39" s="8">
        <v>169</v>
      </c>
      <c r="J39" s="8">
        <v>214</v>
      </c>
      <c r="K39" s="8">
        <v>227</v>
      </c>
      <c r="L39" s="8">
        <v>259</v>
      </c>
      <c r="M39" s="9">
        <v>353</v>
      </c>
    </row>
    <row r="40" spans="1:13" x14ac:dyDescent="0.25">
      <c r="A40" s="15" t="str">
        <f t="shared" si="2"/>
        <v>0117</v>
      </c>
      <c r="B40" s="6" t="s">
        <v>39</v>
      </c>
      <c r="C40" s="8">
        <v>449</v>
      </c>
      <c r="D40" s="8">
        <v>309</v>
      </c>
      <c r="E40" s="8">
        <v>363</v>
      </c>
      <c r="F40" s="8">
        <v>363</v>
      </c>
      <c r="G40" s="8">
        <v>386</v>
      </c>
      <c r="H40" s="8">
        <v>386</v>
      </c>
      <c r="I40" s="8">
        <v>437</v>
      </c>
      <c r="J40" s="8">
        <v>426</v>
      </c>
      <c r="K40" s="8">
        <v>523</v>
      </c>
      <c r="L40" s="8">
        <v>582</v>
      </c>
      <c r="M40" s="9">
        <v>716</v>
      </c>
    </row>
    <row r="41" spans="1:13" x14ac:dyDescent="0.25">
      <c r="A41" s="15" t="str">
        <f t="shared" si="4"/>
        <v>01175</v>
      </c>
      <c r="B41" s="7" t="s">
        <v>40</v>
      </c>
      <c r="C41" s="8">
        <v>7</v>
      </c>
      <c r="D41" s="8">
        <v>7</v>
      </c>
      <c r="E41" s="8">
        <v>8</v>
      </c>
      <c r="F41" s="8">
        <v>6</v>
      </c>
      <c r="G41" s="8">
        <v>4</v>
      </c>
      <c r="H41" s="8">
        <v>6</v>
      </c>
      <c r="I41" s="8">
        <v>6</v>
      </c>
      <c r="J41" s="8">
        <v>6</v>
      </c>
      <c r="K41" s="8">
        <v>8</v>
      </c>
      <c r="L41" s="8">
        <v>9</v>
      </c>
      <c r="M41" s="9">
        <v>13</v>
      </c>
    </row>
    <row r="42" spans="1:13" x14ac:dyDescent="0.25">
      <c r="A42" s="15" t="str">
        <f t="shared" si="4"/>
        <v>01176</v>
      </c>
      <c r="B42" s="7" t="s">
        <v>41</v>
      </c>
      <c r="C42" s="8">
        <v>12</v>
      </c>
      <c r="D42" s="8">
        <v>6</v>
      </c>
      <c r="E42" s="8">
        <v>7</v>
      </c>
      <c r="F42" s="8">
        <v>11</v>
      </c>
      <c r="G42" s="8">
        <v>15</v>
      </c>
      <c r="H42" s="8">
        <v>12</v>
      </c>
      <c r="I42" s="8">
        <v>13</v>
      </c>
      <c r="J42" s="8">
        <v>11</v>
      </c>
      <c r="K42" s="8">
        <v>13</v>
      </c>
      <c r="L42" s="8">
        <v>16</v>
      </c>
      <c r="M42" s="9">
        <v>20</v>
      </c>
    </row>
    <row r="43" spans="1:13" x14ac:dyDescent="0.25">
      <c r="A43" s="15" t="str">
        <f t="shared" si="4"/>
        <v>01177</v>
      </c>
      <c r="B43" s="7" t="s">
        <v>42</v>
      </c>
      <c r="C43" s="8">
        <v>52</v>
      </c>
      <c r="D43" s="8">
        <v>38</v>
      </c>
      <c r="E43" s="8">
        <v>47</v>
      </c>
      <c r="F43" s="8">
        <v>44</v>
      </c>
      <c r="G43" s="8">
        <v>46</v>
      </c>
      <c r="H43" s="8">
        <v>49</v>
      </c>
      <c r="I43" s="8">
        <v>48</v>
      </c>
      <c r="J43" s="8">
        <v>54</v>
      </c>
      <c r="K43" s="8">
        <v>61</v>
      </c>
      <c r="L43" s="8">
        <v>67</v>
      </c>
      <c r="M43" s="9">
        <v>69</v>
      </c>
    </row>
    <row r="44" spans="1:13" x14ac:dyDescent="0.25">
      <c r="A44" s="15" t="str">
        <f t="shared" si="4"/>
        <v>01178</v>
      </c>
      <c r="B44" s="7" t="s">
        <v>43</v>
      </c>
      <c r="C44" s="8">
        <v>41</v>
      </c>
      <c r="D44" s="8">
        <v>18</v>
      </c>
      <c r="E44" s="8">
        <v>27</v>
      </c>
      <c r="F44" s="8">
        <v>26</v>
      </c>
      <c r="G44" s="8">
        <v>34</v>
      </c>
      <c r="H44" s="8">
        <v>37</v>
      </c>
      <c r="I44" s="8">
        <v>44</v>
      </c>
      <c r="J44" s="8">
        <v>41</v>
      </c>
      <c r="K44" s="8">
        <v>52</v>
      </c>
      <c r="L44" s="8">
        <v>59</v>
      </c>
      <c r="M44" s="9">
        <v>69</v>
      </c>
    </row>
    <row r="45" spans="1:13" x14ac:dyDescent="0.25">
      <c r="A45" s="15" t="str">
        <f t="shared" si="4"/>
        <v>01179</v>
      </c>
      <c r="B45" s="7" t="s">
        <v>44</v>
      </c>
      <c r="C45" s="8">
        <v>82</v>
      </c>
      <c r="D45" s="8">
        <v>64</v>
      </c>
      <c r="E45" s="8">
        <v>78</v>
      </c>
      <c r="F45" s="8">
        <v>74</v>
      </c>
      <c r="G45" s="8">
        <v>79</v>
      </c>
      <c r="H45" s="8">
        <v>77</v>
      </c>
      <c r="I45" s="8">
        <v>84</v>
      </c>
      <c r="J45" s="8">
        <v>75</v>
      </c>
      <c r="K45" s="8">
        <v>95</v>
      </c>
      <c r="L45" s="8">
        <v>93</v>
      </c>
      <c r="M45" s="9">
        <v>102</v>
      </c>
    </row>
    <row r="46" spans="1:13" x14ac:dyDescent="0.25">
      <c r="A46" s="15" t="str">
        <f t="shared" si="4"/>
        <v>0117A</v>
      </c>
      <c r="B46" s="7" t="s">
        <v>45</v>
      </c>
      <c r="C46" s="8">
        <v>255</v>
      </c>
      <c r="D46" s="8">
        <v>177</v>
      </c>
      <c r="E46" s="8">
        <v>197</v>
      </c>
      <c r="F46" s="8">
        <v>202</v>
      </c>
      <c r="G46" s="8">
        <v>208</v>
      </c>
      <c r="H46" s="8">
        <v>206</v>
      </c>
      <c r="I46" s="8">
        <v>241</v>
      </c>
      <c r="J46" s="8">
        <v>238</v>
      </c>
      <c r="K46" s="8">
        <v>295</v>
      </c>
      <c r="L46" s="8">
        <v>338</v>
      </c>
      <c r="M46" s="9">
        <v>443</v>
      </c>
    </row>
    <row r="47" spans="1:13" x14ac:dyDescent="0.25">
      <c r="A47" s="15" t="str">
        <f t="shared" si="2"/>
        <v>0118</v>
      </c>
      <c r="B47" s="6" t="s">
        <v>46</v>
      </c>
      <c r="C47" s="8">
        <v>260</v>
      </c>
      <c r="D47" s="8">
        <v>150</v>
      </c>
      <c r="E47" s="8">
        <v>204</v>
      </c>
      <c r="F47" s="8">
        <v>205</v>
      </c>
      <c r="G47" s="8">
        <v>254</v>
      </c>
      <c r="H47" s="8">
        <v>250</v>
      </c>
      <c r="I47" s="8">
        <v>264</v>
      </c>
      <c r="J47" s="8">
        <v>266</v>
      </c>
      <c r="K47" s="8">
        <v>324</v>
      </c>
      <c r="L47" s="8">
        <v>320</v>
      </c>
      <c r="M47" s="9">
        <v>358</v>
      </c>
    </row>
    <row r="48" spans="1:13" x14ac:dyDescent="0.25">
      <c r="A48" s="15" t="str">
        <f t="shared" si="4"/>
        <v>01181</v>
      </c>
      <c r="B48" s="7" t="s">
        <v>47</v>
      </c>
      <c r="C48" s="8">
        <v>15</v>
      </c>
      <c r="D48" s="8">
        <v>14</v>
      </c>
      <c r="E48" s="8">
        <v>14</v>
      </c>
      <c r="F48" s="8">
        <v>16</v>
      </c>
      <c r="G48" s="8">
        <v>18</v>
      </c>
      <c r="H48" s="8">
        <v>15</v>
      </c>
      <c r="I48" s="8">
        <v>14</v>
      </c>
      <c r="J48" s="8">
        <v>14</v>
      </c>
      <c r="K48" s="8">
        <v>13</v>
      </c>
      <c r="L48" s="8">
        <v>16</v>
      </c>
      <c r="M48" s="9">
        <v>17</v>
      </c>
    </row>
    <row r="49" spans="1:13" x14ac:dyDescent="0.25">
      <c r="A49" s="15" t="str">
        <f t="shared" si="4"/>
        <v>0118A</v>
      </c>
      <c r="B49" s="7" t="s">
        <v>48</v>
      </c>
      <c r="C49" s="8">
        <v>245</v>
      </c>
      <c r="D49" s="8">
        <v>136</v>
      </c>
      <c r="E49" s="8">
        <v>190</v>
      </c>
      <c r="F49" s="8">
        <v>190</v>
      </c>
      <c r="G49" s="8">
        <v>237</v>
      </c>
      <c r="H49" s="8">
        <v>235</v>
      </c>
      <c r="I49" s="8">
        <v>251</v>
      </c>
      <c r="J49" s="8">
        <v>252</v>
      </c>
      <c r="K49" s="8">
        <v>311</v>
      </c>
      <c r="L49" s="8">
        <v>304</v>
      </c>
      <c r="M49" s="9">
        <v>340</v>
      </c>
    </row>
    <row r="50" spans="1:13" x14ac:dyDescent="0.25">
      <c r="A50" s="15" t="str">
        <f t="shared" si="2"/>
        <v>0119</v>
      </c>
      <c r="B50" s="6" t="s">
        <v>49</v>
      </c>
      <c r="C50" s="8">
        <v>152</v>
      </c>
      <c r="D50" s="8">
        <v>91</v>
      </c>
      <c r="E50" s="8">
        <v>118</v>
      </c>
      <c r="F50" s="8">
        <v>121</v>
      </c>
      <c r="G50" s="8">
        <v>152</v>
      </c>
      <c r="H50" s="8">
        <v>146</v>
      </c>
      <c r="I50" s="8">
        <v>146</v>
      </c>
      <c r="J50" s="8">
        <v>136</v>
      </c>
      <c r="K50" s="8">
        <v>202</v>
      </c>
      <c r="L50" s="8">
        <v>181</v>
      </c>
      <c r="M50" s="9">
        <v>222</v>
      </c>
    </row>
    <row r="51" spans="1:13" x14ac:dyDescent="0.25">
      <c r="A51" s="15" t="str">
        <f t="shared" si="4"/>
        <v>0119Z</v>
      </c>
      <c r="B51" s="7" t="s">
        <v>50</v>
      </c>
      <c r="C51" s="8">
        <v>152</v>
      </c>
      <c r="D51" s="8">
        <v>91</v>
      </c>
      <c r="E51" s="8">
        <v>118</v>
      </c>
      <c r="F51" s="8">
        <v>121</v>
      </c>
      <c r="G51" s="8">
        <v>152</v>
      </c>
      <c r="H51" s="8">
        <v>146</v>
      </c>
      <c r="I51" s="8">
        <v>146</v>
      </c>
      <c r="J51" s="8">
        <v>136</v>
      </c>
      <c r="K51" s="8">
        <v>202</v>
      </c>
      <c r="L51" s="8">
        <v>181</v>
      </c>
      <c r="M51" s="9">
        <v>222</v>
      </c>
    </row>
    <row r="52" spans="1:13" x14ac:dyDescent="0.25">
      <c r="A52" s="15" t="str">
        <f t="shared" si="2"/>
        <v xml:space="preserve">012 </v>
      </c>
      <c r="B52" s="6" t="s">
        <v>51</v>
      </c>
      <c r="C52" s="8">
        <v>343</v>
      </c>
      <c r="D52" s="8">
        <v>241</v>
      </c>
      <c r="E52" s="8">
        <v>274</v>
      </c>
      <c r="F52" s="8">
        <v>292</v>
      </c>
      <c r="G52" s="8">
        <v>313</v>
      </c>
      <c r="H52" s="8">
        <v>311</v>
      </c>
      <c r="I52" s="8">
        <v>349</v>
      </c>
      <c r="J52" s="8">
        <v>357</v>
      </c>
      <c r="K52" s="8">
        <v>386</v>
      </c>
      <c r="L52" s="8">
        <v>416</v>
      </c>
      <c r="M52" s="9">
        <v>495</v>
      </c>
    </row>
    <row r="53" spans="1:13" x14ac:dyDescent="0.25">
      <c r="A53" s="15" t="str">
        <f t="shared" si="2"/>
        <v>0121</v>
      </c>
      <c r="B53" s="6" t="s">
        <v>52</v>
      </c>
      <c r="C53" s="8">
        <v>126</v>
      </c>
      <c r="D53" s="8">
        <v>69</v>
      </c>
      <c r="E53" s="8">
        <v>81</v>
      </c>
      <c r="F53" s="8">
        <v>97</v>
      </c>
      <c r="G53" s="8">
        <v>111</v>
      </c>
      <c r="H53" s="8">
        <v>113</v>
      </c>
      <c r="I53" s="8">
        <v>131</v>
      </c>
      <c r="J53" s="8">
        <v>125</v>
      </c>
      <c r="K53" s="8">
        <v>143</v>
      </c>
      <c r="L53" s="8">
        <v>160</v>
      </c>
      <c r="M53" s="9">
        <v>227</v>
      </c>
    </row>
    <row r="54" spans="1:13" x14ac:dyDescent="0.25">
      <c r="A54" s="15" t="str">
        <f t="shared" ref="A54:A55" si="5">LEFT(B54,5)</f>
        <v>01213</v>
      </c>
      <c r="B54" s="7" t="s">
        <v>53</v>
      </c>
      <c r="C54" s="8">
        <v>6</v>
      </c>
      <c r="D54" s="8">
        <v>4</v>
      </c>
      <c r="E54" s="8">
        <v>8</v>
      </c>
      <c r="F54" s="8">
        <v>5</v>
      </c>
      <c r="G54" s="8">
        <v>5</v>
      </c>
      <c r="H54" s="8">
        <v>6</v>
      </c>
      <c r="I54" s="8">
        <v>6</v>
      </c>
      <c r="J54" s="8">
        <v>8</v>
      </c>
      <c r="K54" s="8">
        <v>5</v>
      </c>
      <c r="L54" s="8">
        <v>6</v>
      </c>
      <c r="M54" s="9">
        <v>5</v>
      </c>
    </row>
    <row r="55" spans="1:13" x14ac:dyDescent="0.25">
      <c r="A55" s="15" t="str">
        <f t="shared" si="5"/>
        <v>0121A</v>
      </c>
      <c r="B55" s="7" t="s">
        <v>54</v>
      </c>
      <c r="C55" s="8">
        <v>120</v>
      </c>
      <c r="D55" s="8">
        <v>64</v>
      </c>
      <c r="E55" s="8">
        <v>73</v>
      </c>
      <c r="F55" s="8">
        <v>92</v>
      </c>
      <c r="G55" s="8">
        <v>106</v>
      </c>
      <c r="H55" s="8">
        <v>107</v>
      </c>
      <c r="I55" s="8">
        <v>125</v>
      </c>
      <c r="J55" s="8">
        <v>117</v>
      </c>
      <c r="K55" s="8">
        <v>138</v>
      </c>
      <c r="L55" s="8">
        <v>154</v>
      </c>
      <c r="M55" s="9">
        <v>222</v>
      </c>
    </row>
    <row r="56" spans="1:13" x14ac:dyDescent="0.25">
      <c r="A56" s="15" t="str">
        <f t="shared" si="2"/>
        <v>0122</v>
      </c>
      <c r="B56" s="6" t="s">
        <v>55</v>
      </c>
      <c r="C56" s="8">
        <v>218</v>
      </c>
      <c r="D56" s="8">
        <v>172</v>
      </c>
      <c r="E56" s="8">
        <v>193</v>
      </c>
      <c r="F56" s="8">
        <v>195</v>
      </c>
      <c r="G56" s="8">
        <v>202</v>
      </c>
      <c r="H56" s="8">
        <v>198</v>
      </c>
      <c r="I56" s="8">
        <v>218</v>
      </c>
      <c r="J56" s="8">
        <v>231</v>
      </c>
      <c r="K56" s="8">
        <v>242</v>
      </c>
      <c r="L56" s="8">
        <v>256</v>
      </c>
      <c r="M56" s="9">
        <v>268</v>
      </c>
    </row>
    <row r="57" spans="1:13" x14ac:dyDescent="0.25">
      <c r="A57" s="15" t="str">
        <f t="shared" ref="A57:A59" si="6">LEFT(B57,5)</f>
        <v>01221</v>
      </c>
      <c r="B57" s="7" t="s">
        <v>56</v>
      </c>
      <c r="C57" s="8">
        <v>67</v>
      </c>
      <c r="D57" s="8">
        <v>36</v>
      </c>
      <c r="E57" s="8">
        <v>50</v>
      </c>
      <c r="F57" s="8">
        <v>58</v>
      </c>
      <c r="G57" s="8">
        <v>58</v>
      </c>
      <c r="H57" s="8">
        <v>65</v>
      </c>
      <c r="I57" s="8">
        <v>67</v>
      </c>
      <c r="J57" s="8">
        <v>76</v>
      </c>
      <c r="K57" s="8">
        <v>83</v>
      </c>
      <c r="L57" s="8">
        <v>84</v>
      </c>
      <c r="M57" s="9">
        <v>91</v>
      </c>
    </row>
    <row r="58" spans="1:13" x14ac:dyDescent="0.25">
      <c r="A58" s="15" t="str">
        <f t="shared" si="6"/>
        <v>01222</v>
      </c>
      <c r="B58" s="7" t="s">
        <v>57</v>
      </c>
      <c r="C58" s="8">
        <v>48</v>
      </c>
      <c r="D58" s="8">
        <v>52</v>
      </c>
      <c r="E58" s="8">
        <v>56</v>
      </c>
      <c r="F58" s="8">
        <v>49</v>
      </c>
      <c r="G58" s="8">
        <v>47</v>
      </c>
      <c r="H58" s="8">
        <v>47</v>
      </c>
      <c r="I58" s="8">
        <v>49</v>
      </c>
      <c r="J58" s="8">
        <v>43</v>
      </c>
      <c r="K58" s="8">
        <v>45</v>
      </c>
      <c r="L58" s="8">
        <v>50</v>
      </c>
      <c r="M58" s="9">
        <v>44</v>
      </c>
    </row>
    <row r="59" spans="1:13" x14ac:dyDescent="0.25">
      <c r="A59" s="15" t="str">
        <f t="shared" si="6"/>
        <v>0122A</v>
      </c>
      <c r="B59" s="7" t="s">
        <v>58</v>
      </c>
      <c r="C59" s="8">
        <v>103</v>
      </c>
      <c r="D59" s="8">
        <v>84</v>
      </c>
      <c r="E59" s="8">
        <v>87</v>
      </c>
      <c r="F59" s="8">
        <v>88</v>
      </c>
      <c r="G59" s="8">
        <v>97</v>
      </c>
      <c r="H59" s="8">
        <v>86</v>
      </c>
      <c r="I59" s="8">
        <v>102</v>
      </c>
      <c r="J59" s="8">
        <v>112</v>
      </c>
      <c r="K59" s="8">
        <v>115</v>
      </c>
      <c r="L59" s="8">
        <v>122</v>
      </c>
      <c r="M59" s="9">
        <v>133</v>
      </c>
    </row>
    <row r="60" spans="1:13" x14ac:dyDescent="0.25">
      <c r="A60" s="15" t="str">
        <f t="shared" si="2"/>
        <v xml:space="preserve">013 </v>
      </c>
      <c r="B60" s="6" t="s">
        <v>59</v>
      </c>
      <c r="C60" s="8">
        <v>169</v>
      </c>
      <c r="D60" s="8">
        <v>92</v>
      </c>
      <c r="E60" s="8">
        <v>100</v>
      </c>
      <c r="F60" s="8">
        <v>99</v>
      </c>
      <c r="G60" s="8">
        <v>113</v>
      </c>
      <c r="H60" s="8">
        <v>141</v>
      </c>
      <c r="I60" s="8">
        <v>166</v>
      </c>
      <c r="J60" s="8">
        <v>192</v>
      </c>
      <c r="K60" s="8">
        <v>217</v>
      </c>
      <c r="L60" s="8">
        <v>236</v>
      </c>
      <c r="M60" s="9">
        <v>329</v>
      </c>
    </row>
    <row r="61" spans="1:13" x14ac:dyDescent="0.25">
      <c r="A61" s="15" t="str">
        <f t="shared" si="2"/>
        <v>0131</v>
      </c>
      <c r="B61" s="6" t="s">
        <v>60</v>
      </c>
      <c r="C61" s="8">
        <v>169</v>
      </c>
      <c r="D61" s="8">
        <v>92</v>
      </c>
      <c r="E61" s="8">
        <v>100</v>
      </c>
      <c r="F61" s="8">
        <v>99</v>
      </c>
      <c r="G61" s="8">
        <v>113</v>
      </c>
      <c r="H61" s="8">
        <v>141</v>
      </c>
      <c r="I61" s="8">
        <v>166</v>
      </c>
      <c r="J61" s="8">
        <v>192</v>
      </c>
      <c r="K61" s="8">
        <v>217</v>
      </c>
      <c r="L61" s="8">
        <v>236</v>
      </c>
      <c r="M61" s="9">
        <v>329</v>
      </c>
    </row>
    <row r="62" spans="1:13" x14ac:dyDescent="0.25">
      <c r="A62" s="15" t="str">
        <f t="shared" ref="A62" si="7">LEFT(B62,5)</f>
        <v>0131Z</v>
      </c>
      <c r="B62" s="7" t="s">
        <v>61</v>
      </c>
      <c r="C62" s="8">
        <v>169</v>
      </c>
      <c r="D62" s="8">
        <v>92</v>
      </c>
      <c r="E62" s="8">
        <v>100</v>
      </c>
      <c r="F62" s="8">
        <v>99</v>
      </c>
      <c r="G62" s="8">
        <v>113</v>
      </c>
      <c r="H62" s="8">
        <v>141</v>
      </c>
      <c r="I62" s="8">
        <v>166</v>
      </c>
      <c r="J62" s="8">
        <v>192</v>
      </c>
      <c r="K62" s="8">
        <v>217</v>
      </c>
      <c r="L62" s="8">
        <v>236</v>
      </c>
      <c r="M62" s="9">
        <v>329</v>
      </c>
    </row>
    <row r="63" spans="1:13" x14ac:dyDescent="0.25">
      <c r="A63" s="16" t="s">
        <v>313</v>
      </c>
      <c r="B63" s="6" t="s">
        <v>62</v>
      </c>
      <c r="C63" s="8">
        <v>788</v>
      </c>
      <c r="D63" s="8">
        <v>552</v>
      </c>
      <c r="E63" s="8">
        <v>620</v>
      </c>
      <c r="F63" s="8">
        <v>710</v>
      </c>
      <c r="G63" s="8">
        <v>760</v>
      </c>
      <c r="H63" s="8">
        <v>810</v>
      </c>
      <c r="I63" s="8">
        <v>885</v>
      </c>
      <c r="J63" s="8">
        <v>817</v>
      </c>
      <c r="K63" s="8">
        <v>812</v>
      </c>
      <c r="L63" s="8">
        <v>827</v>
      </c>
      <c r="M63" s="9">
        <v>1086</v>
      </c>
    </row>
    <row r="64" spans="1:13" x14ac:dyDescent="0.25">
      <c r="A64" s="15" t="str">
        <f t="shared" si="2"/>
        <v xml:space="preserve">021 </v>
      </c>
      <c r="B64" s="6" t="s">
        <v>63</v>
      </c>
      <c r="C64" s="8">
        <v>387</v>
      </c>
      <c r="D64" s="8">
        <v>185</v>
      </c>
      <c r="E64" s="8">
        <v>204</v>
      </c>
      <c r="F64" s="8">
        <v>293</v>
      </c>
      <c r="G64" s="8">
        <v>333</v>
      </c>
      <c r="H64" s="8">
        <v>356</v>
      </c>
      <c r="I64" s="8">
        <v>439</v>
      </c>
      <c r="J64" s="8">
        <v>423</v>
      </c>
      <c r="K64" s="8">
        <v>458</v>
      </c>
      <c r="L64" s="8">
        <v>471</v>
      </c>
      <c r="M64" s="9">
        <v>703</v>
      </c>
    </row>
    <row r="65" spans="1:13" x14ac:dyDescent="0.25">
      <c r="A65" s="15" t="str">
        <f t="shared" si="2"/>
        <v>0211</v>
      </c>
      <c r="B65" s="6" t="s">
        <v>64</v>
      </c>
      <c r="C65" s="8">
        <v>100</v>
      </c>
      <c r="D65" s="8">
        <v>55</v>
      </c>
      <c r="E65" s="8">
        <v>67</v>
      </c>
      <c r="F65" s="8">
        <v>104</v>
      </c>
      <c r="G65" s="8">
        <v>104</v>
      </c>
      <c r="H65" s="8">
        <v>97</v>
      </c>
      <c r="I65" s="8">
        <v>112</v>
      </c>
      <c r="J65" s="8">
        <v>123</v>
      </c>
      <c r="K65" s="8">
        <v>107</v>
      </c>
      <c r="L65" s="8">
        <v>110</v>
      </c>
      <c r="M65" s="9">
        <v>116</v>
      </c>
    </row>
    <row r="66" spans="1:13" x14ac:dyDescent="0.25">
      <c r="A66" s="15" t="str">
        <f t="shared" ref="A66" si="8">LEFT(B66,5)</f>
        <v>02111</v>
      </c>
      <c r="B66" s="7" t="s">
        <v>65</v>
      </c>
      <c r="C66" s="8">
        <v>100</v>
      </c>
      <c r="D66" s="8">
        <v>55</v>
      </c>
      <c r="E66" s="8">
        <v>67</v>
      </c>
      <c r="F66" s="8">
        <v>104</v>
      </c>
      <c r="G66" s="8">
        <v>104</v>
      </c>
      <c r="H66" s="8">
        <v>97</v>
      </c>
      <c r="I66" s="8">
        <v>112</v>
      </c>
      <c r="J66" s="8">
        <v>123</v>
      </c>
      <c r="K66" s="8">
        <v>107</v>
      </c>
      <c r="L66" s="8">
        <v>110</v>
      </c>
      <c r="M66" s="9">
        <v>116</v>
      </c>
    </row>
    <row r="67" spans="1:13" x14ac:dyDescent="0.25">
      <c r="A67" s="15" t="str">
        <f t="shared" si="2"/>
        <v>0212</v>
      </c>
      <c r="B67" s="6" t="s">
        <v>66</v>
      </c>
      <c r="C67" s="8">
        <v>225</v>
      </c>
      <c r="D67" s="8">
        <v>73</v>
      </c>
      <c r="E67" s="8">
        <v>94</v>
      </c>
      <c r="F67" s="8">
        <v>138</v>
      </c>
      <c r="G67" s="8">
        <v>162</v>
      </c>
      <c r="H67" s="8">
        <v>180</v>
      </c>
      <c r="I67" s="8">
        <v>265</v>
      </c>
      <c r="J67" s="8">
        <v>235</v>
      </c>
      <c r="K67" s="8">
        <v>292</v>
      </c>
      <c r="L67" s="8">
        <v>297</v>
      </c>
      <c r="M67" s="9">
        <v>513</v>
      </c>
    </row>
    <row r="68" spans="1:13" x14ac:dyDescent="0.25">
      <c r="A68" s="15" t="str">
        <f t="shared" ref="A68:A70" si="9">LEFT(B68,5)</f>
        <v>0212A</v>
      </c>
      <c r="B68" s="7" t="s">
        <v>67</v>
      </c>
      <c r="C68" s="8">
        <v>225</v>
      </c>
      <c r="D68" s="8">
        <v>73</v>
      </c>
      <c r="E68" s="8">
        <v>94</v>
      </c>
      <c r="F68" s="8">
        <v>138</v>
      </c>
      <c r="G68" s="8">
        <v>162</v>
      </c>
      <c r="H68" s="8">
        <v>180</v>
      </c>
      <c r="I68" s="8">
        <v>265</v>
      </c>
      <c r="J68" s="8">
        <v>235</v>
      </c>
      <c r="K68" s="8">
        <v>292</v>
      </c>
      <c r="L68" s="8">
        <v>297</v>
      </c>
      <c r="M68" s="9">
        <v>513</v>
      </c>
    </row>
    <row r="69" spans="1:13" x14ac:dyDescent="0.25">
      <c r="A69" s="15" t="str">
        <f t="shared" si="2"/>
        <v>0213</v>
      </c>
      <c r="B69" s="6" t="s">
        <v>68</v>
      </c>
      <c r="C69" s="8">
        <v>62</v>
      </c>
      <c r="D69" s="8">
        <v>57</v>
      </c>
      <c r="E69" s="8">
        <v>43</v>
      </c>
      <c r="F69" s="8">
        <v>51</v>
      </c>
      <c r="G69" s="8">
        <v>67</v>
      </c>
      <c r="H69" s="8">
        <v>79</v>
      </c>
      <c r="I69" s="8">
        <v>62</v>
      </c>
      <c r="J69" s="8">
        <v>66</v>
      </c>
      <c r="K69" s="8">
        <v>59</v>
      </c>
      <c r="L69" s="8">
        <v>64</v>
      </c>
      <c r="M69" s="9">
        <v>74</v>
      </c>
    </row>
    <row r="70" spans="1:13" x14ac:dyDescent="0.25">
      <c r="A70" s="15" t="str">
        <f t="shared" si="9"/>
        <v>02131</v>
      </c>
      <c r="B70" s="7" t="s">
        <v>69</v>
      </c>
      <c r="C70" s="8">
        <v>62</v>
      </c>
      <c r="D70" s="8">
        <v>57</v>
      </c>
      <c r="E70" s="8">
        <v>43</v>
      </c>
      <c r="F70" s="8">
        <v>51</v>
      </c>
      <c r="G70" s="8">
        <v>67</v>
      </c>
      <c r="H70" s="8">
        <v>79</v>
      </c>
      <c r="I70" s="8">
        <v>62</v>
      </c>
      <c r="J70" s="8">
        <v>66</v>
      </c>
      <c r="K70" s="8">
        <v>59</v>
      </c>
      <c r="L70" s="8">
        <v>64</v>
      </c>
      <c r="M70" s="9">
        <v>74</v>
      </c>
    </row>
    <row r="71" spans="1:13" x14ac:dyDescent="0.25">
      <c r="A71" s="16" t="s">
        <v>322</v>
      </c>
      <c r="B71" s="6" t="s">
        <v>70</v>
      </c>
      <c r="C71" s="8">
        <v>397</v>
      </c>
      <c r="D71" s="8">
        <v>367</v>
      </c>
      <c r="E71" s="8">
        <v>416</v>
      </c>
      <c r="F71" s="8">
        <v>414</v>
      </c>
      <c r="G71" s="8">
        <v>421</v>
      </c>
      <c r="H71" s="8">
        <v>448</v>
      </c>
      <c r="I71" s="8">
        <v>443</v>
      </c>
      <c r="J71" s="8">
        <v>391</v>
      </c>
      <c r="K71" s="8">
        <v>348</v>
      </c>
      <c r="L71" s="8">
        <v>350</v>
      </c>
      <c r="M71" s="9">
        <v>371</v>
      </c>
    </row>
    <row r="72" spans="1:13" x14ac:dyDescent="0.25">
      <c r="A72" s="20" t="s">
        <v>312</v>
      </c>
      <c r="B72" s="6" t="s">
        <v>71</v>
      </c>
      <c r="C72" s="8">
        <v>397</v>
      </c>
      <c r="D72" s="8">
        <v>367</v>
      </c>
      <c r="E72" s="8">
        <v>416</v>
      </c>
      <c r="F72" s="8">
        <v>414</v>
      </c>
      <c r="G72" s="8">
        <v>421</v>
      </c>
      <c r="H72" s="8">
        <v>448</v>
      </c>
      <c r="I72" s="8">
        <v>443</v>
      </c>
      <c r="J72" s="8">
        <v>391</v>
      </c>
      <c r="K72" s="8">
        <v>348</v>
      </c>
      <c r="L72" s="8">
        <v>350</v>
      </c>
      <c r="M72" s="9">
        <v>371</v>
      </c>
    </row>
    <row r="73" spans="1:13" x14ac:dyDescent="0.25">
      <c r="A73" s="15" t="str">
        <f t="shared" ref="A73" si="10">LEFT(B73,5)</f>
        <v>022ZZ</v>
      </c>
      <c r="B73" s="7" t="s">
        <v>72</v>
      </c>
      <c r="C73" s="8">
        <v>397</v>
      </c>
      <c r="D73" s="8">
        <v>367</v>
      </c>
      <c r="E73" s="8">
        <v>416</v>
      </c>
      <c r="F73" s="8">
        <v>414</v>
      </c>
      <c r="G73" s="8">
        <v>421</v>
      </c>
      <c r="H73" s="8">
        <v>448</v>
      </c>
      <c r="I73" s="8">
        <v>443</v>
      </c>
      <c r="J73" s="8">
        <v>391</v>
      </c>
      <c r="K73" s="8">
        <v>348</v>
      </c>
      <c r="L73" s="8">
        <v>350</v>
      </c>
      <c r="M73" s="9">
        <v>371</v>
      </c>
    </row>
    <row r="74" spans="1:13" x14ac:dyDescent="0.25">
      <c r="A74" s="15" t="str">
        <f t="shared" ref="A74:A134" si="11">LEFT(B74,4)</f>
        <v xml:space="preserve">024 </v>
      </c>
      <c r="B74" s="6" t="s">
        <v>73</v>
      </c>
      <c r="C74" s="8">
        <v>4</v>
      </c>
      <c r="D74" s="8">
        <v>0</v>
      </c>
      <c r="E74" s="8">
        <v>0</v>
      </c>
      <c r="F74" s="8">
        <v>2</v>
      </c>
      <c r="G74" s="8">
        <v>6</v>
      </c>
      <c r="H74" s="8">
        <v>5</v>
      </c>
      <c r="I74" s="8">
        <v>3</v>
      </c>
      <c r="J74" s="8">
        <v>2</v>
      </c>
      <c r="K74" s="8">
        <v>6</v>
      </c>
      <c r="L74" s="8">
        <v>6</v>
      </c>
      <c r="M74" s="9">
        <v>11</v>
      </c>
    </row>
    <row r="75" spans="1:13" x14ac:dyDescent="0.25">
      <c r="A75" s="15" t="str">
        <f t="shared" si="11"/>
        <v>0241</v>
      </c>
      <c r="B75" s="6" t="s">
        <v>74</v>
      </c>
      <c r="C75" s="8">
        <v>4</v>
      </c>
      <c r="D75" s="8">
        <v>0</v>
      </c>
      <c r="E75" s="8">
        <v>0</v>
      </c>
      <c r="F75" s="8">
        <v>2</v>
      </c>
      <c r="G75" s="8">
        <v>6</v>
      </c>
      <c r="H75" s="8">
        <v>5</v>
      </c>
      <c r="I75" s="8">
        <v>3</v>
      </c>
      <c r="J75" s="8">
        <v>2</v>
      </c>
      <c r="K75" s="8">
        <v>6</v>
      </c>
      <c r="L75" s="8">
        <v>6</v>
      </c>
      <c r="M75" s="9">
        <v>11</v>
      </c>
    </row>
    <row r="76" spans="1:13" x14ac:dyDescent="0.25">
      <c r="A76" s="15" t="str">
        <f t="shared" ref="A76" si="12">LEFT(B76,5)</f>
        <v>02411</v>
      </c>
      <c r="B76" s="7" t="s">
        <v>75</v>
      </c>
      <c r="C76" s="8">
        <v>4</v>
      </c>
      <c r="D76" s="8">
        <v>0</v>
      </c>
      <c r="E76" s="8">
        <v>0</v>
      </c>
      <c r="F76" s="8">
        <v>2</v>
      </c>
      <c r="G76" s="8">
        <v>6</v>
      </c>
      <c r="H76" s="8">
        <v>5</v>
      </c>
      <c r="I76" s="8">
        <v>3</v>
      </c>
      <c r="J76" s="8">
        <v>2</v>
      </c>
      <c r="K76" s="8">
        <v>6</v>
      </c>
      <c r="L76" s="8">
        <v>6</v>
      </c>
      <c r="M76" s="9">
        <v>11</v>
      </c>
    </row>
    <row r="77" spans="1:13" x14ac:dyDescent="0.25">
      <c r="A77" s="16" t="s">
        <v>314</v>
      </c>
      <c r="B77" s="6" t="s">
        <v>76</v>
      </c>
      <c r="C77" s="8">
        <v>1374</v>
      </c>
      <c r="D77" s="8">
        <v>902</v>
      </c>
      <c r="E77" s="8">
        <v>993</v>
      </c>
      <c r="F77" s="8">
        <v>1018</v>
      </c>
      <c r="G77" s="8">
        <v>1043</v>
      </c>
      <c r="H77" s="8">
        <v>1087</v>
      </c>
      <c r="I77" s="8">
        <v>1279</v>
      </c>
      <c r="J77" s="8">
        <v>1422</v>
      </c>
      <c r="K77" s="8">
        <v>1625</v>
      </c>
      <c r="L77" s="8">
        <v>2020</v>
      </c>
      <c r="M77" s="9">
        <v>2344</v>
      </c>
    </row>
    <row r="78" spans="1:13" x14ac:dyDescent="0.25">
      <c r="A78" s="15" t="str">
        <f t="shared" si="11"/>
        <v xml:space="preserve">031 </v>
      </c>
      <c r="B78" s="6" t="s">
        <v>77</v>
      </c>
      <c r="C78" s="8">
        <v>956</v>
      </c>
      <c r="D78" s="8">
        <v>646</v>
      </c>
      <c r="E78" s="8">
        <v>703</v>
      </c>
      <c r="F78" s="8">
        <v>711</v>
      </c>
      <c r="G78" s="8">
        <v>735</v>
      </c>
      <c r="H78" s="8">
        <v>767</v>
      </c>
      <c r="I78" s="8">
        <v>895</v>
      </c>
      <c r="J78" s="8">
        <v>976</v>
      </c>
      <c r="K78" s="8">
        <v>1138</v>
      </c>
      <c r="L78" s="8">
        <v>1393</v>
      </c>
      <c r="M78" s="9">
        <v>1596</v>
      </c>
    </row>
    <row r="79" spans="1:13" x14ac:dyDescent="0.25">
      <c r="A79" s="15" t="str">
        <f t="shared" si="11"/>
        <v>0311</v>
      </c>
      <c r="B79" s="6" t="s">
        <v>78</v>
      </c>
      <c r="C79" s="8">
        <v>4</v>
      </c>
      <c r="D79" s="8">
        <v>1</v>
      </c>
      <c r="E79" s="8">
        <v>2</v>
      </c>
      <c r="F79" s="8">
        <v>1</v>
      </c>
      <c r="G79" s="8">
        <v>2</v>
      </c>
      <c r="H79" s="8">
        <v>6</v>
      </c>
      <c r="I79" s="8">
        <v>5</v>
      </c>
      <c r="J79" s="8">
        <v>4</v>
      </c>
      <c r="K79" s="8">
        <v>15</v>
      </c>
      <c r="L79" s="8">
        <v>3</v>
      </c>
      <c r="M79" s="9">
        <v>5</v>
      </c>
    </row>
    <row r="80" spans="1:13" x14ac:dyDescent="0.25">
      <c r="A80" s="15" t="str">
        <f t="shared" ref="A80" si="13">LEFT(B80,5)</f>
        <v>03111</v>
      </c>
      <c r="B80" s="7" t="s">
        <v>79</v>
      </c>
      <c r="C80" s="8">
        <v>4</v>
      </c>
      <c r="D80" s="8">
        <v>1</v>
      </c>
      <c r="E80" s="8">
        <v>2</v>
      </c>
      <c r="F80" s="8">
        <v>1</v>
      </c>
      <c r="G80" s="8">
        <v>2</v>
      </c>
      <c r="H80" s="8">
        <v>6</v>
      </c>
      <c r="I80" s="8">
        <v>5</v>
      </c>
      <c r="J80" s="8">
        <v>4</v>
      </c>
      <c r="K80" s="8">
        <v>15</v>
      </c>
      <c r="L80" s="8">
        <v>3</v>
      </c>
      <c r="M80" s="9">
        <v>5</v>
      </c>
    </row>
    <row r="81" spans="1:13" x14ac:dyDescent="0.25">
      <c r="A81" s="15" t="str">
        <f t="shared" si="11"/>
        <v>0312</v>
      </c>
      <c r="B81" s="6" t="s">
        <v>80</v>
      </c>
      <c r="C81" s="8">
        <v>894</v>
      </c>
      <c r="D81" s="8">
        <v>618</v>
      </c>
      <c r="E81" s="8">
        <v>668</v>
      </c>
      <c r="F81" s="8">
        <v>680</v>
      </c>
      <c r="G81" s="8">
        <v>688</v>
      </c>
      <c r="H81" s="8">
        <v>720</v>
      </c>
      <c r="I81" s="8">
        <v>845</v>
      </c>
      <c r="J81" s="8">
        <v>908</v>
      </c>
      <c r="K81" s="8">
        <v>1054</v>
      </c>
      <c r="L81" s="8">
        <v>1313</v>
      </c>
      <c r="M81" s="9">
        <v>1441</v>
      </c>
    </row>
    <row r="82" spans="1:13" x14ac:dyDescent="0.25">
      <c r="A82" s="15" t="str">
        <f t="shared" ref="A82" si="14">LEFT(B82,5)</f>
        <v>0312Z</v>
      </c>
      <c r="B82" s="7" t="s">
        <v>81</v>
      </c>
      <c r="C82" s="8">
        <v>894</v>
      </c>
      <c r="D82" s="8">
        <v>618</v>
      </c>
      <c r="E82" s="8">
        <v>668</v>
      </c>
      <c r="F82" s="8">
        <v>680</v>
      </c>
      <c r="G82" s="8">
        <v>688</v>
      </c>
      <c r="H82" s="8">
        <v>720</v>
      </c>
      <c r="I82" s="8">
        <v>845</v>
      </c>
      <c r="J82" s="8">
        <v>908</v>
      </c>
      <c r="K82" s="8">
        <v>1054</v>
      </c>
      <c r="L82" s="8">
        <v>1313</v>
      </c>
      <c r="M82" s="9">
        <v>1441</v>
      </c>
    </row>
    <row r="83" spans="1:13" x14ac:dyDescent="0.25">
      <c r="A83" s="15" t="str">
        <f t="shared" si="11"/>
        <v>0313</v>
      </c>
      <c r="B83" s="6" t="s">
        <v>82</v>
      </c>
      <c r="C83" s="8">
        <v>42</v>
      </c>
      <c r="D83" s="8">
        <v>16</v>
      </c>
      <c r="E83" s="8">
        <v>24</v>
      </c>
      <c r="F83" s="8">
        <v>26</v>
      </c>
      <c r="G83" s="8">
        <v>41</v>
      </c>
      <c r="H83" s="8">
        <v>35</v>
      </c>
      <c r="I83" s="8">
        <v>29</v>
      </c>
      <c r="J83" s="8">
        <v>49</v>
      </c>
      <c r="K83" s="8">
        <v>52</v>
      </c>
      <c r="L83" s="8">
        <v>60</v>
      </c>
      <c r="M83" s="9">
        <v>84</v>
      </c>
    </row>
    <row r="84" spans="1:13" x14ac:dyDescent="0.25">
      <c r="A84" s="15" t="str">
        <f t="shared" ref="A84" si="15">LEFT(B84,5)</f>
        <v>03131</v>
      </c>
      <c r="B84" s="7" t="s">
        <v>83</v>
      </c>
      <c r="C84" s="8">
        <v>42</v>
      </c>
      <c r="D84" s="8">
        <v>16</v>
      </c>
      <c r="E84" s="8">
        <v>24</v>
      </c>
      <c r="F84" s="8">
        <v>26</v>
      </c>
      <c r="G84" s="8">
        <v>41</v>
      </c>
      <c r="H84" s="8">
        <v>35</v>
      </c>
      <c r="I84" s="8">
        <v>29</v>
      </c>
      <c r="J84" s="8">
        <v>49</v>
      </c>
      <c r="K84" s="8">
        <v>52</v>
      </c>
      <c r="L84" s="8">
        <v>60</v>
      </c>
      <c r="M84" s="9">
        <v>84</v>
      </c>
    </row>
    <row r="85" spans="1:13" x14ac:dyDescent="0.25">
      <c r="A85" s="15" t="str">
        <f t="shared" si="11"/>
        <v>0314</v>
      </c>
      <c r="B85" s="6" t="s">
        <v>84</v>
      </c>
      <c r="C85" s="8">
        <v>16</v>
      </c>
      <c r="D85" s="8">
        <v>11</v>
      </c>
      <c r="E85" s="8">
        <v>9</v>
      </c>
      <c r="F85" s="8">
        <v>3</v>
      </c>
      <c r="G85" s="8">
        <v>4</v>
      </c>
      <c r="H85" s="8">
        <v>5</v>
      </c>
      <c r="I85" s="8">
        <v>15</v>
      </c>
      <c r="J85" s="8">
        <v>15</v>
      </c>
      <c r="K85" s="8">
        <v>17</v>
      </c>
      <c r="L85" s="8">
        <v>17</v>
      </c>
      <c r="M85" s="9">
        <v>67</v>
      </c>
    </row>
    <row r="86" spans="1:13" x14ac:dyDescent="0.25">
      <c r="A86" s="15" t="str">
        <f t="shared" ref="A86" si="16">LEFT(B86,5)</f>
        <v>03141</v>
      </c>
      <c r="B86" s="7" t="s">
        <v>85</v>
      </c>
      <c r="C86" s="8">
        <v>16</v>
      </c>
      <c r="D86" s="8">
        <v>11</v>
      </c>
      <c r="E86" s="8">
        <v>9</v>
      </c>
      <c r="F86" s="8">
        <v>3</v>
      </c>
      <c r="G86" s="8">
        <v>4</v>
      </c>
      <c r="H86" s="8">
        <v>5</v>
      </c>
      <c r="I86" s="8">
        <v>15</v>
      </c>
      <c r="J86" s="8">
        <v>15</v>
      </c>
      <c r="K86" s="8">
        <v>17</v>
      </c>
      <c r="L86" s="8">
        <v>17</v>
      </c>
      <c r="M86" s="9">
        <v>67</v>
      </c>
    </row>
    <row r="87" spans="1:13" x14ac:dyDescent="0.25">
      <c r="A87" s="15" t="str">
        <f t="shared" si="11"/>
        <v xml:space="preserve">032 </v>
      </c>
      <c r="B87" s="6" t="s">
        <v>86</v>
      </c>
      <c r="C87" s="8">
        <v>288</v>
      </c>
      <c r="D87" s="8">
        <v>192</v>
      </c>
      <c r="E87" s="8">
        <v>223</v>
      </c>
      <c r="F87" s="8">
        <v>222</v>
      </c>
      <c r="G87" s="8">
        <v>225</v>
      </c>
      <c r="H87" s="8">
        <v>233</v>
      </c>
      <c r="I87" s="8">
        <v>273</v>
      </c>
      <c r="J87" s="8">
        <v>287</v>
      </c>
      <c r="K87" s="8">
        <v>340</v>
      </c>
      <c r="L87" s="8">
        <v>414</v>
      </c>
      <c r="M87" s="9">
        <v>473</v>
      </c>
    </row>
    <row r="88" spans="1:13" x14ac:dyDescent="0.25">
      <c r="A88" s="23" t="s">
        <v>355</v>
      </c>
      <c r="B88" s="6" t="s">
        <v>87</v>
      </c>
      <c r="C88" s="8">
        <v>288</v>
      </c>
      <c r="D88" s="8">
        <v>192</v>
      </c>
      <c r="E88" s="8">
        <v>223</v>
      </c>
      <c r="F88" s="8">
        <v>222</v>
      </c>
      <c r="G88" s="8">
        <v>225</v>
      </c>
      <c r="H88" s="8">
        <v>233</v>
      </c>
      <c r="I88" s="8">
        <v>273</v>
      </c>
      <c r="J88" s="8">
        <v>287</v>
      </c>
      <c r="K88" s="8">
        <v>340</v>
      </c>
      <c r="L88" s="8">
        <v>414</v>
      </c>
      <c r="M88" s="9">
        <v>473</v>
      </c>
    </row>
    <row r="89" spans="1:13" x14ac:dyDescent="0.25">
      <c r="A89" s="15" t="str">
        <f t="shared" ref="A89" si="17">LEFT(B89,5)</f>
        <v>032ZZ</v>
      </c>
      <c r="B89" s="7" t="s">
        <v>88</v>
      </c>
      <c r="C89" s="8">
        <v>288</v>
      </c>
      <c r="D89" s="8">
        <v>192</v>
      </c>
      <c r="E89" s="8">
        <v>223</v>
      </c>
      <c r="F89" s="8">
        <v>222</v>
      </c>
      <c r="G89" s="8">
        <v>225</v>
      </c>
      <c r="H89" s="8">
        <v>233</v>
      </c>
      <c r="I89" s="8">
        <v>273</v>
      </c>
      <c r="J89" s="8">
        <v>287</v>
      </c>
      <c r="K89" s="8">
        <v>340</v>
      </c>
      <c r="L89" s="8">
        <v>414</v>
      </c>
      <c r="M89" s="9">
        <v>473</v>
      </c>
    </row>
    <row r="90" spans="1:13" x14ac:dyDescent="0.25">
      <c r="A90" s="15" t="str">
        <f t="shared" si="11"/>
        <v xml:space="preserve">033 </v>
      </c>
      <c r="B90" s="6" t="s">
        <v>89</v>
      </c>
      <c r="C90" s="8">
        <v>129</v>
      </c>
      <c r="D90" s="8">
        <v>64</v>
      </c>
      <c r="E90" s="8">
        <v>67</v>
      </c>
      <c r="F90" s="8">
        <v>85</v>
      </c>
      <c r="G90" s="8">
        <v>83</v>
      </c>
      <c r="H90" s="8">
        <v>88</v>
      </c>
      <c r="I90" s="8">
        <v>112</v>
      </c>
      <c r="J90" s="8">
        <v>159</v>
      </c>
      <c r="K90" s="8">
        <v>146</v>
      </c>
      <c r="L90" s="8">
        <v>213</v>
      </c>
      <c r="M90" s="9">
        <v>275</v>
      </c>
    </row>
    <row r="91" spans="1:13" x14ac:dyDescent="0.25">
      <c r="A91" s="23" t="s">
        <v>356</v>
      </c>
      <c r="B91" s="6" t="s">
        <v>90</v>
      </c>
      <c r="C91" s="8">
        <v>129</v>
      </c>
      <c r="D91" s="8">
        <v>64</v>
      </c>
      <c r="E91" s="8">
        <v>67</v>
      </c>
      <c r="F91" s="8">
        <v>85</v>
      </c>
      <c r="G91" s="8">
        <v>83</v>
      </c>
      <c r="H91" s="8">
        <v>88</v>
      </c>
      <c r="I91" s="8">
        <v>112</v>
      </c>
      <c r="J91" s="8">
        <v>159</v>
      </c>
      <c r="K91" s="8">
        <v>146</v>
      </c>
      <c r="L91" s="8">
        <v>213</v>
      </c>
      <c r="M91" s="9">
        <v>275</v>
      </c>
    </row>
    <row r="92" spans="1:13" x14ac:dyDescent="0.25">
      <c r="A92" s="15" t="str">
        <f t="shared" ref="A92" si="18">LEFT(B92,5)</f>
        <v>0331Z</v>
      </c>
      <c r="B92" s="7" t="s">
        <v>91</v>
      </c>
      <c r="C92" s="8">
        <v>129</v>
      </c>
      <c r="D92" s="8">
        <v>64</v>
      </c>
      <c r="E92" s="8">
        <v>67</v>
      </c>
      <c r="F92" s="8">
        <v>85</v>
      </c>
      <c r="G92" s="8">
        <v>83</v>
      </c>
      <c r="H92" s="8">
        <v>88</v>
      </c>
      <c r="I92" s="8">
        <v>112</v>
      </c>
      <c r="J92" s="8">
        <v>159</v>
      </c>
      <c r="K92" s="8">
        <v>146</v>
      </c>
      <c r="L92" s="8">
        <v>213</v>
      </c>
      <c r="M92" s="9">
        <v>275</v>
      </c>
    </row>
    <row r="93" spans="1:13" x14ac:dyDescent="0.25">
      <c r="A93" s="16" t="s">
        <v>318</v>
      </c>
      <c r="B93" s="6" t="s">
        <v>92</v>
      </c>
      <c r="C93" s="8">
        <v>4454</v>
      </c>
      <c r="D93" s="8">
        <v>3640</v>
      </c>
      <c r="E93" s="8">
        <v>3974</v>
      </c>
      <c r="F93" s="8">
        <v>4194</v>
      </c>
      <c r="G93" s="8">
        <v>4375</v>
      </c>
      <c r="H93" s="8">
        <v>4369</v>
      </c>
      <c r="I93" s="8">
        <v>4642</v>
      </c>
      <c r="J93" s="8">
        <v>4490</v>
      </c>
      <c r="K93" s="8">
        <v>4557</v>
      </c>
      <c r="L93" s="8">
        <v>4503</v>
      </c>
      <c r="M93" s="9">
        <v>5788</v>
      </c>
    </row>
    <row r="94" spans="1:13" x14ac:dyDescent="0.25">
      <c r="A94" s="15" t="str">
        <f t="shared" si="11"/>
        <v xml:space="preserve">041 </v>
      </c>
      <c r="B94" s="6" t="s">
        <v>93</v>
      </c>
      <c r="C94" s="8">
        <v>2022</v>
      </c>
      <c r="D94" s="8">
        <v>1870</v>
      </c>
      <c r="E94" s="8">
        <v>1936</v>
      </c>
      <c r="F94" s="8">
        <v>2128</v>
      </c>
      <c r="G94" s="8">
        <v>2210</v>
      </c>
      <c r="H94" s="8">
        <v>2227</v>
      </c>
      <c r="I94" s="8">
        <v>2161</v>
      </c>
      <c r="J94" s="8">
        <v>1874</v>
      </c>
      <c r="K94" s="8">
        <v>1949</v>
      </c>
      <c r="L94" s="8">
        <v>1792</v>
      </c>
      <c r="M94" s="9">
        <v>2074</v>
      </c>
    </row>
    <row r="95" spans="1:13" x14ac:dyDescent="0.25">
      <c r="A95" s="15" t="str">
        <f t="shared" si="11"/>
        <v>0411</v>
      </c>
      <c r="B95" s="6" t="s">
        <v>94</v>
      </c>
      <c r="C95" s="8">
        <v>1975</v>
      </c>
      <c r="D95" s="8">
        <v>1840</v>
      </c>
      <c r="E95" s="8">
        <v>1917</v>
      </c>
      <c r="F95" s="8">
        <v>2114</v>
      </c>
      <c r="G95" s="8">
        <v>2168</v>
      </c>
      <c r="H95" s="8">
        <v>2183</v>
      </c>
      <c r="I95" s="8">
        <v>2118</v>
      </c>
      <c r="J95" s="8">
        <v>1795</v>
      </c>
      <c r="K95" s="8">
        <v>1902</v>
      </c>
      <c r="L95" s="8">
        <v>1724</v>
      </c>
      <c r="M95" s="9">
        <v>1987</v>
      </c>
    </row>
    <row r="96" spans="1:13" x14ac:dyDescent="0.25">
      <c r="A96" s="15" t="str">
        <f t="shared" ref="A96" si="19">LEFT(B96,5)</f>
        <v>04111</v>
      </c>
      <c r="B96" s="7" t="s">
        <v>95</v>
      </c>
      <c r="C96" s="8">
        <v>1975</v>
      </c>
      <c r="D96" s="8">
        <v>1840</v>
      </c>
      <c r="E96" s="8">
        <v>1917</v>
      </c>
      <c r="F96" s="8">
        <v>2114</v>
      </c>
      <c r="G96" s="8">
        <v>2168</v>
      </c>
      <c r="H96" s="8">
        <v>2183</v>
      </c>
      <c r="I96" s="8">
        <v>2118</v>
      </c>
      <c r="J96" s="8">
        <v>1795</v>
      </c>
      <c r="K96" s="8">
        <v>1902</v>
      </c>
      <c r="L96" s="8">
        <v>1724</v>
      </c>
      <c r="M96" s="9">
        <v>1987</v>
      </c>
    </row>
    <row r="97" spans="1:13" x14ac:dyDescent="0.25">
      <c r="A97" s="15" t="str">
        <f t="shared" si="11"/>
        <v>0412</v>
      </c>
      <c r="B97" s="6" t="s">
        <v>96</v>
      </c>
      <c r="C97" s="8">
        <v>47</v>
      </c>
      <c r="D97" s="8">
        <v>30</v>
      </c>
      <c r="E97" s="8">
        <v>18</v>
      </c>
      <c r="F97" s="8">
        <v>14</v>
      </c>
      <c r="G97" s="8">
        <v>42</v>
      </c>
      <c r="H97" s="8">
        <v>44</v>
      </c>
      <c r="I97" s="8">
        <v>43</v>
      </c>
      <c r="J97" s="8">
        <v>79</v>
      </c>
      <c r="K97" s="8">
        <v>47</v>
      </c>
      <c r="L97" s="8">
        <v>68</v>
      </c>
      <c r="M97" s="9">
        <v>87</v>
      </c>
    </row>
    <row r="98" spans="1:13" x14ac:dyDescent="0.25">
      <c r="A98" s="15" t="str">
        <f t="shared" ref="A98" si="20">LEFT(B98,5)</f>
        <v>04121</v>
      </c>
      <c r="B98" s="7" t="s">
        <v>97</v>
      </c>
      <c r="C98" s="8">
        <v>47</v>
      </c>
      <c r="D98" s="8">
        <v>30</v>
      </c>
      <c r="E98" s="8">
        <v>18</v>
      </c>
      <c r="F98" s="8">
        <v>14</v>
      </c>
      <c r="G98" s="8">
        <v>42</v>
      </c>
      <c r="H98" s="8">
        <v>44</v>
      </c>
      <c r="I98" s="8">
        <v>43</v>
      </c>
      <c r="J98" s="8">
        <v>79</v>
      </c>
      <c r="K98" s="8">
        <v>47</v>
      </c>
      <c r="L98" s="8">
        <v>68</v>
      </c>
      <c r="M98" s="9">
        <v>87</v>
      </c>
    </row>
    <row r="99" spans="1:13" x14ac:dyDescent="0.25">
      <c r="A99" s="15" t="str">
        <f t="shared" si="11"/>
        <v xml:space="preserve">043 </v>
      </c>
      <c r="B99" s="6" t="s">
        <v>98</v>
      </c>
      <c r="C99" s="8">
        <v>176</v>
      </c>
      <c r="D99" s="8">
        <v>65</v>
      </c>
      <c r="E99" s="8">
        <v>53</v>
      </c>
      <c r="F99" s="8">
        <v>78</v>
      </c>
      <c r="G99" s="8">
        <v>81</v>
      </c>
      <c r="H99" s="8">
        <v>150</v>
      </c>
      <c r="I99" s="8">
        <v>314</v>
      </c>
      <c r="J99" s="8">
        <v>296</v>
      </c>
      <c r="K99" s="8">
        <v>246</v>
      </c>
      <c r="L99" s="8">
        <v>166</v>
      </c>
      <c r="M99" s="9">
        <v>306</v>
      </c>
    </row>
    <row r="100" spans="1:13" x14ac:dyDescent="0.25">
      <c r="A100" s="15" t="str">
        <f t="shared" si="11"/>
        <v>0431</v>
      </c>
      <c r="B100" s="6" t="s">
        <v>99</v>
      </c>
      <c r="C100" s="8">
        <v>176</v>
      </c>
      <c r="D100" s="8">
        <v>65</v>
      </c>
      <c r="E100" s="8">
        <v>53</v>
      </c>
      <c r="F100" s="8">
        <v>78</v>
      </c>
      <c r="G100" s="8">
        <v>81</v>
      </c>
      <c r="H100" s="8">
        <v>150</v>
      </c>
      <c r="I100" s="8">
        <v>314</v>
      </c>
      <c r="J100" s="8">
        <v>296</v>
      </c>
      <c r="K100" s="8">
        <v>246</v>
      </c>
      <c r="L100" s="8">
        <v>166</v>
      </c>
      <c r="M100" s="9">
        <v>306</v>
      </c>
    </row>
    <row r="101" spans="1:13" x14ac:dyDescent="0.25">
      <c r="A101" s="15" t="str">
        <f t="shared" ref="A101" si="21">LEFT(B101,5)</f>
        <v>0431Z</v>
      </c>
      <c r="B101" s="7" t="s">
        <v>100</v>
      </c>
      <c r="C101" s="8">
        <v>176</v>
      </c>
      <c r="D101" s="8">
        <v>65</v>
      </c>
      <c r="E101" s="8">
        <v>53</v>
      </c>
      <c r="F101" s="8">
        <v>78</v>
      </c>
      <c r="G101" s="8">
        <v>81</v>
      </c>
      <c r="H101" s="8">
        <v>150</v>
      </c>
      <c r="I101" s="8">
        <v>314</v>
      </c>
      <c r="J101" s="8">
        <v>296</v>
      </c>
      <c r="K101" s="8">
        <v>246</v>
      </c>
      <c r="L101" s="8">
        <v>166</v>
      </c>
      <c r="M101" s="9">
        <v>306</v>
      </c>
    </row>
    <row r="102" spans="1:13" x14ac:dyDescent="0.25">
      <c r="A102" s="15" t="str">
        <f t="shared" si="11"/>
        <v xml:space="preserve">044 </v>
      </c>
      <c r="B102" s="6" t="s">
        <v>101</v>
      </c>
      <c r="C102" s="8">
        <v>834</v>
      </c>
      <c r="D102" s="8">
        <v>728</v>
      </c>
      <c r="E102" s="8">
        <v>834</v>
      </c>
      <c r="F102" s="8">
        <v>775</v>
      </c>
      <c r="G102" s="8">
        <v>757</v>
      </c>
      <c r="H102" s="8">
        <v>689</v>
      </c>
      <c r="I102" s="8">
        <v>771</v>
      </c>
      <c r="J102" s="8">
        <v>793</v>
      </c>
      <c r="K102" s="8">
        <v>844</v>
      </c>
      <c r="L102" s="8">
        <v>932</v>
      </c>
      <c r="M102" s="9">
        <v>1216</v>
      </c>
    </row>
    <row r="103" spans="1:13" x14ac:dyDescent="0.25">
      <c r="A103" s="20" t="s">
        <v>352</v>
      </c>
      <c r="B103" s="26" t="s">
        <v>102</v>
      </c>
      <c r="C103" s="8">
        <v>256</v>
      </c>
      <c r="D103" s="8">
        <v>191</v>
      </c>
      <c r="E103" s="8">
        <v>207</v>
      </c>
      <c r="F103" s="8">
        <v>230</v>
      </c>
      <c r="G103" s="8">
        <v>237</v>
      </c>
      <c r="H103" s="8">
        <v>244</v>
      </c>
      <c r="I103" s="8">
        <v>269</v>
      </c>
      <c r="J103" s="8">
        <v>266</v>
      </c>
      <c r="K103" s="8">
        <v>280</v>
      </c>
      <c r="L103" s="8">
        <v>288</v>
      </c>
      <c r="M103" s="9">
        <v>344</v>
      </c>
    </row>
    <row r="104" spans="1:13" x14ac:dyDescent="0.25">
      <c r="A104" s="15" t="str">
        <f t="shared" ref="A104" si="22">LEFT(B104,5)</f>
        <v>04431</v>
      </c>
      <c r="B104" s="7" t="s">
        <v>103</v>
      </c>
      <c r="C104" s="8">
        <v>256</v>
      </c>
      <c r="D104" s="8">
        <v>191</v>
      </c>
      <c r="E104" s="8">
        <v>207</v>
      </c>
      <c r="F104" s="8">
        <v>230</v>
      </c>
      <c r="G104" s="8">
        <v>237</v>
      </c>
      <c r="H104" s="8">
        <v>244</v>
      </c>
      <c r="I104" s="8">
        <v>269</v>
      </c>
      <c r="J104" s="8">
        <v>266</v>
      </c>
      <c r="K104" s="8">
        <v>280</v>
      </c>
      <c r="L104" s="8">
        <v>288</v>
      </c>
      <c r="M104" s="9">
        <v>344</v>
      </c>
    </row>
    <row r="105" spans="1:13" x14ac:dyDescent="0.25">
      <c r="A105" s="15" t="str">
        <f t="shared" si="11"/>
        <v>0444</v>
      </c>
      <c r="B105" s="6" t="s">
        <v>104</v>
      </c>
      <c r="C105" s="8">
        <v>578</v>
      </c>
      <c r="D105" s="8">
        <v>537</v>
      </c>
      <c r="E105" s="8">
        <v>627</v>
      </c>
      <c r="F105" s="8">
        <v>545</v>
      </c>
      <c r="G105" s="8">
        <v>519</v>
      </c>
      <c r="H105" s="8">
        <v>445</v>
      </c>
      <c r="I105" s="8">
        <v>502</v>
      </c>
      <c r="J105" s="8">
        <v>527</v>
      </c>
      <c r="K105" s="8">
        <v>565</v>
      </c>
      <c r="L105" s="8">
        <v>643</v>
      </c>
      <c r="M105" s="9">
        <v>872</v>
      </c>
    </row>
    <row r="106" spans="1:13" x14ac:dyDescent="0.25">
      <c r="A106" s="15" t="str">
        <f t="shared" ref="A106" si="23">LEFT(B106,5)</f>
        <v>04441</v>
      </c>
      <c r="B106" s="7" t="s">
        <v>105</v>
      </c>
      <c r="C106" s="8">
        <v>578</v>
      </c>
      <c r="D106" s="8">
        <v>537</v>
      </c>
      <c r="E106" s="8">
        <v>627</v>
      </c>
      <c r="F106" s="8">
        <v>545</v>
      </c>
      <c r="G106" s="8">
        <v>519</v>
      </c>
      <c r="H106" s="8">
        <v>445</v>
      </c>
      <c r="I106" s="8">
        <v>502</v>
      </c>
      <c r="J106" s="8">
        <v>527</v>
      </c>
      <c r="K106" s="8">
        <v>565</v>
      </c>
      <c r="L106" s="8">
        <v>643</v>
      </c>
      <c r="M106" s="9">
        <v>872</v>
      </c>
    </row>
    <row r="107" spans="1:13" x14ac:dyDescent="0.25">
      <c r="A107" s="15" t="str">
        <f t="shared" si="11"/>
        <v xml:space="preserve">045 </v>
      </c>
      <c r="B107" s="6" t="s">
        <v>106</v>
      </c>
      <c r="C107" s="8">
        <v>1353</v>
      </c>
      <c r="D107" s="8">
        <v>967</v>
      </c>
      <c r="E107" s="8">
        <v>1123</v>
      </c>
      <c r="F107" s="8">
        <v>1193</v>
      </c>
      <c r="G107" s="8">
        <v>1279</v>
      </c>
      <c r="H107" s="8">
        <v>1281</v>
      </c>
      <c r="I107" s="8">
        <v>1348</v>
      </c>
      <c r="J107" s="8">
        <v>1449</v>
      </c>
      <c r="K107" s="8">
        <v>1427</v>
      </c>
      <c r="L107" s="8">
        <v>1530</v>
      </c>
      <c r="M107" s="9">
        <v>1925</v>
      </c>
    </row>
    <row r="108" spans="1:13" s="14" customFormat="1" x14ac:dyDescent="0.25">
      <c r="A108" s="24" t="s">
        <v>339</v>
      </c>
      <c r="B108" s="25" t="s">
        <v>107</v>
      </c>
      <c r="C108" s="18">
        <v>178</v>
      </c>
      <c r="D108" s="18">
        <v>111</v>
      </c>
      <c r="E108" s="18">
        <v>127</v>
      </c>
      <c r="F108" s="18">
        <v>146</v>
      </c>
      <c r="G108" s="18">
        <v>146</v>
      </c>
      <c r="H108" s="18">
        <v>135</v>
      </c>
      <c r="I108" s="18">
        <v>143</v>
      </c>
      <c r="J108" s="18">
        <v>171</v>
      </c>
      <c r="K108" s="18">
        <v>168</v>
      </c>
      <c r="L108" s="18">
        <v>240</v>
      </c>
      <c r="M108" s="19">
        <v>394</v>
      </c>
    </row>
    <row r="109" spans="1:13" s="14" customFormat="1" x14ac:dyDescent="0.25">
      <c r="A109" s="22" t="str">
        <f t="shared" si="11"/>
        <v>0451</v>
      </c>
      <c r="B109" s="17" t="s">
        <v>108</v>
      </c>
      <c r="C109" s="12">
        <f>746</f>
        <v>746</v>
      </c>
      <c r="D109" s="12">
        <f>592</f>
        <v>592</v>
      </c>
      <c r="E109" s="12">
        <f>635</f>
        <v>635</v>
      </c>
      <c r="F109" s="12">
        <f>640</f>
        <v>640</v>
      </c>
      <c r="G109" s="12">
        <f>683</f>
        <v>683</v>
      </c>
      <c r="H109" s="12">
        <f>714</f>
        <v>714</v>
      </c>
      <c r="I109" s="12">
        <f>759</f>
        <v>759</v>
      </c>
      <c r="J109" s="12">
        <f>814</f>
        <v>814</v>
      </c>
      <c r="K109" s="12">
        <f>808</f>
        <v>808</v>
      </c>
      <c r="L109" s="12">
        <f>855</f>
        <v>855</v>
      </c>
      <c r="M109" s="13">
        <f>957</f>
        <v>957</v>
      </c>
    </row>
    <row r="110" spans="1:13" s="14" customFormat="1" x14ac:dyDescent="0.25">
      <c r="A110" s="15" t="str">
        <f t="shared" si="11"/>
        <v>0452</v>
      </c>
      <c r="B110" s="17" t="s">
        <v>109</v>
      </c>
      <c r="C110" s="18">
        <f>253+178</f>
        <v>431</v>
      </c>
      <c r="D110" s="18">
        <f>159+111</f>
        <v>270</v>
      </c>
      <c r="E110" s="18">
        <f>209+127</f>
        <v>336</v>
      </c>
      <c r="F110" s="18">
        <f>251+146</f>
        <v>397</v>
      </c>
      <c r="G110" s="18">
        <f>237+146</f>
        <v>383</v>
      </c>
      <c r="H110" s="18">
        <f>245+135</f>
        <v>380</v>
      </c>
      <c r="I110" s="18">
        <f>250+143</f>
        <v>393</v>
      </c>
      <c r="J110" s="18">
        <f>270+171</f>
        <v>441</v>
      </c>
      <c r="K110" s="18">
        <f>259+168</f>
        <v>427</v>
      </c>
      <c r="L110" s="18">
        <f>266+240</f>
        <v>506</v>
      </c>
      <c r="M110" s="19">
        <f>386+394</f>
        <v>780</v>
      </c>
    </row>
    <row r="111" spans="1:13" s="14" customFormat="1" x14ac:dyDescent="0.25">
      <c r="A111" s="15" t="str">
        <f t="shared" si="11"/>
        <v>0453</v>
      </c>
      <c r="B111" s="17" t="s">
        <v>110</v>
      </c>
      <c r="C111" s="18">
        <v>121</v>
      </c>
      <c r="D111" s="18">
        <v>73</v>
      </c>
      <c r="E111" s="18">
        <v>110</v>
      </c>
      <c r="F111" s="18">
        <v>102</v>
      </c>
      <c r="G111" s="18">
        <v>157</v>
      </c>
      <c r="H111" s="18">
        <v>129</v>
      </c>
      <c r="I111" s="18">
        <v>132</v>
      </c>
      <c r="J111" s="18">
        <v>132</v>
      </c>
      <c r="K111" s="18">
        <v>133</v>
      </c>
      <c r="L111" s="18">
        <v>109</v>
      </c>
      <c r="M111" s="19">
        <v>129</v>
      </c>
    </row>
    <row r="112" spans="1:13" s="14" customFormat="1" x14ac:dyDescent="0.25">
      <c r="A112" s="21" t="s">
        <v>311</v>
      </c>
      <c r="B112" s="17" t="s">
        <v>111</v>
      </c>
      <c r="C112" s="18">
        <v>55</v>
      </c>
      <c r="D112" s="18">
        <v>32</v>
      </c>
      <c r="E112" s="18">
        <v>42</v>
      </c>
      <c r="F112" s="18">
        <v>54</v>
      </c>
      <c r="G112" s="18">
        <v>57</v>
      </c>
      <c r="H112" s="18">
        <v>57</v>
      </c>
      <c r="I112" s="18">
        <v>64</v>
      </c>
      <c r="J112" s="18">
        <v>62</v>
      </c>
      <c r="K112" s="18">
        <v>59</v>
      </c>
      <c r="L112" s="18">
        <v>60</v>
      </c>
      <c r="M112" s="19">
        <v>59</v>
      </c>
    </row>
    <row r="113" spans="1:13" s="14" customFormat="1" x14ac:dyDescent="0.25">
      <c r="A113" s="21" t="s">
        <v>350</v>
      </c>
      <c r="B113" s="11" t="s">
        <v>335</v>
      </c>
      <c r="C113" s="18">
        <v>0.1</v>
      </c>
      <c r="D113" s="18">
        <v>0.1</v>
      </c>
      <c r="E113" s="18">
        <v>0.1</v>
      </c>
      <c r="F113" s="18">
        <v>0.1</v>
      </c>
      <c r="G113" s="18">
        <v>0.1</v>
      </c>
      <c r="H113" s="18">
        <v>0.1</v>
      </c>
      <c r="I113" s="18">
        <v>0.1</v>
      </c>
      <c r="J113" s="18">
        <v>0.1</v>
      </c>
      <c r="K113" s="18">
        <v>0.1</v>
      </c>
      <c r="L113" s="18">
        <v>0.1</v>
      </c>
      <c r="M113" s="18">
        <v>0.1</v>
      </c>
    </row>
    <row r="114" spans="1:13" x14ac:dyDescent="0.25">
      <c r="A114" s="15" t="str">
        <f t="shared" si="11"/>
        <v xml:space="preserve">046 </v>
      </c>
      <c r="B114" s="6" t="s">
        <v>112</v>
      </c>
      <c r="C114" s="8">
        <v>70</v>
      </c>
      <c r="D114" s="8">
        <v>11</v>
      </c>
      <c r="E114" s="8">
        <v>29</v>
      </c>
      <c r="F114" s="8">
        <v>20</v>
      </c>
      <c r="G114" s="8">
        <v>48</v>
      </c>
      <c r="H114" s="8">
        <v>22</v>
      </c>
      <c r="I114" s="8">
        <v>48</v>
      </c>
      <c r="J114" s="8">
        <v>77</v>
      </c>
      <c r="K114" s="8">
        <v>91</v>
      </c>
      <c r="L114" s="8">
        <v>83</v>
      </c>
      <c r="M114" s="9">
        <v>267</v>
      </c>
    </row>
    <row r="115" spans="1:13" x14ac:dyDescent="0.25">
      <c r="A115" s="15" t="str">
        <f t="shared" si="11"/>
        <v>0461</v>
      </c>
      <c r="B115" s="6" t="s">
        <v>113</v>
      </c>
      <c r="C115" s="8">
        <v>70</v>
      </c>
      <c r="D115" s="8">
        <v>11</v>
      </c>
      <c r="E115" s="8">
        <v>29</v>
      </c>
      <c r="F115" s="8">
        <v>20</v>
      </c>
      <c r="G115" s="8">
        <v>48</v>
      </c>
      <c r="H115" s="8">
        <v>22</v>
      </c>
      <c r="I115" s="8">
        <v>48</v>
      </c>
      <c r="J115" s="8">
        <v>77</v>
      </c>
      <c r="K115" s="8">
        <v>91</v>
      </c>
      <c r="L115" s="8">
        <v>83</v>
      </c>
      <c r="M115" s="9">
        <v>267</v>
      </c>
    </row>
    <row r="116" spans="1:13" x14ac:dyDescent="0.25">
      <c r="A116" s="15" t="str">
        <f t="shared" ref="A116" si="24">LEFT(B116,5)</f>
        <v>04611</v>
      </c>
      <c r="B116" s="7" t="s">
        <v>114</v>
      </c>
      <c r="C116" s="8">
        <v>70</v>
      </c>
      <c r="D116" s="8">
        <v>11</v>
      </c>
      <c r="E116" s="8">
        <v>29</v>
      </c>
      <c r="F116" s="8">
        <v>20</v>
      </c>
      <c r="G116" s="8">
        <v>48</v>
      </c>
      <c r="H116" s="8">
        <v>22</v>
      </c>
      <c r="I116" s="8">
        <v>48</v>
      </c>
      <c r="J116" s="8">
        <v>77</v>
      </c>
      <c r="K116" s="8">
        <v>91</v>
      </c>
      <c r="L116" s="8">
        <v>83</v>
      </c>
      <c r="M116" s="9">
        <v>267</v>
      </c>
    </row>
    <row r="117" spans="1:13" x14ac:dyDescent="0.25">
      <c r="A117" s="16" t="s">
        <v>319</v>
      </c>
      <c r="B117" s="6" t="s">
        <v>115</v>
      </c>
      <c r="C117" s="8">
        <v>1558</v>
      </c>
      <c r="D117" s="8">
        <v>593</v>
      </c>
      <c r="E117" s="8">
        <v>773</v>
      </c>
      <c r="F117" s="8">
        <v>1013</v>
      </c>
      <c r="G117" s="8">
        <v>997</v>
      </c>
      <c r="H117" s="8">
        <v>1102</v>
      </c>
      <c r="I117" s="8">
        <v>1331</v>
      </c>
      <c r="J117" s="8">
        <v>1599</v>
      </c>
      <c r="K117" s="8">
        <v>2015</v>
      </c>
      <c r="L117" s="8">
        <v>2254</v>
      </c>
      <c r="M117" s="9">
        <v>3889</v>
      </c>
    </row>
    <row r="118" spans="1:13" x14ac:dyDescent="0.25">
      <c r="A118" s="15" t="str">
        <f t="shared" si="11"/>
        <v xml:space="preserve">051 </v>
      </c>
      <c r="B118" s="6" t="s">
        <v>116</v>
      </c>
      <c r="C118" s="8">
        <v>424</v>
      </c>
      <c r="D118" s="8">
        <v>165</v>
      </c>
      <c r="E118" s="8">
        <v>207</v>
      </c>
      <c r="F118" s="8">
        <v>276</v>
      </c>
      <c r="G118" s="8">
        <v>236</v>
      </c>
      <c r="H118" s="8">
        <v>292</v>
      </c>
      <c r="I118" s="8">
        <v>371</v>
      </c>
      <c r="J118" s="8">
        <v>445</v>
      </c>
      <c r="K118" s="8">
        <v>606</v>
      </c>
      <c r="L118" s="8">
        <v>704</v>
      </c>
      <c r="M118" s="9">
        <v>935</v>
      </c>
    </row>
    <row r="119" spans="1:13" x14ac:dyDescent="0.25">
      <c r="A119" s="15" t="str">
        <f t="shared" si="11"/>
        <v>0511</v>
      </c>
      <c r="B119" s="6" t="s">
        <v>117</v>
      </c>
      <c r="C119" s="8">
        <v>410</v>
      </c>
      <c r="D119" s="8">
        <v>164</v>
      </c>
      <c r="E119" s="8">
        <v>204</v>
      </c>
      <c r="F119" s="8">
        <v>268</v>
      </c>
      <c r="G119" s="8">
        <v>221</v>
      </c>
      <c r="H119" s="8">
        <v>282</v>
      </c>
      <c r="I119" s="8">
        <v>368</v>
      </c>
      <c r="J119" s="8">
        <v>417</v>
      </c>
      <c r="K119" s="8">
        <v>573</v>
      </c>
      <c r="L119" s="8">
        <v>686</v>
      </c>
      <c r="M119" s="9">
        <v>912</v>
      </c>
    </row>
    <row r="120" spans="1:13" x14ac:dyDescent="0.25">
      <c r="A120" s="15" t="str">
        <f t="shared" ref="A120:A122" si="25">LEFT(B120,5)</f>
        <v>0511Z</v>
      </c>
      <c r="B120" s="7" t="s">
        <v>118</v>
      </c>
      <c r="C120" s="8">
        <v>410</v>
      </c>
      <c r="D120" s="8">
        <v>164</v>
      </c>
      <c r="E120" s="8">
        <v>204</v>
      </c>
      <c r="F120" s="8">
        <v>268</v>
      </c>
      <c r="G120" s="8">
        <v>221</v>
      </c>
      <c r="H120" s="8">
        <v>282</v>
      </c>
      <c r="I120" s="8">
        <v>368</v>
      </c>
      <c r="J120" s="8">
        <v>417</v>
      </c>
      <c r="K120" s="8">
        <v>573</v>
      </c>
      <c r="L120" s="8">
        <v>686</v>
      </c>
      <c r="M120" s="9">
        <v>912</v>
      </c>
    </row>
    <row r="121" spans="1:13" x14ac:dyDescent="0.25">
      <c r="A121" s="16" t="s">
        <v>338</v>
      </c>
      <c r="B121" s="6" t="s">
        <v>119</v>
      </c>
      <c r="C121" s="8">
        <v>14</v>
      </c>
      <c r="D121" s="8">
        <v>2</v>
      </c>
      <c r="E121" s="8">
        <v>2</v>
      </c>
      <c r="F121" s="8">
        <v>8</v>
      </c>
      <c r="G121" s="8">
        <v>15</v>
      </c>
      <c r="H121" s="8">
        <v>10</v>
      </c>
      <c r="I121" s="8">
        <v>3</v>
      </c>
      <c r="J121" s="8">
        <v>27</v>
      </c>
      <c r="K121" s="8">
        <v>33</v>
      </c>
      <c r="L121" s="8">
        <v>18</v>
      </c>
      <c r="M121" s="9">
        <v>23</v>
      </c>
    </row>
    <row r="122" spans="1:13" x14ac:dyDescent="0.25">
      <c r="A122" s="15" t="str">
        <f t="shared" si="25"/>
        <v>051AZ</v>
      </c>
      <c r="B122" s="7" t="s">
        <v>120</v>
      </c>
      <c r="C122" s="8">
        <v>14</v>
      </c>
      <c r="D122" s="8">
        <v>2</v>
      </c>
      <c r="E122" s="8">
        <v>2</v>
      </c>
      <c r="F122" s="8">
        <v>8</v>
      </c>
      <c r="G122" s="8">
        <v>15</v>
      </c>
      <c r="H122" s="8">
        <v>10</v>
      </c>
      <c r="I122" s="8">
        <v>3</v>
      </c>
      <c r="J122" s="8">
        <v>27</v>
      </c>
      <c r="K122" s="8">
        <v>33</v>
      </c>
      <c r="L122" s="8">
        <v>18</v>
      </c>
      <c r="M122" s="9">
        <v>23</v>
      </c>
    </row>
    <row r="123" spans="1:13" x14ac:dyDescent="0.25">
      <c r="A123" s="20" t="s">
        <v>348</v>
      </c>
      <c r="B123" s="6" t="s">
        <v>121</v>
      </c>
      <c r="C123" s="8">
        <v>85</v>
      </c>
      <c r="D123" s="8">
        <v>23</v>
      </c>
      <c r="E123" s="8">
        <v>44</v>
      </c>
      <c r="F123" s="8">
        <v>52</v>
      </c>
      <c r="G123" s="8">
        <v>51</v>
      </c>
      <c r="H123" s="8">
        <v>75</v>
      </c>
      <c r="I123" s="8">
        <v>76</v>
      </c>
      <c r="J123" s="8">
        <v>92</v>
      </c>
      <c r="K123" s="8">
        <v>104</v>
      </c>
      <c r="L123" s="8">
        <v>121</v>
      </c>
      <c r="M123" s="9">
        <v>215</v>
      </c>
    </row>
    <row r="124" spans="1:13" x14ac:dyDescent="0.25">
      <c r="A124" s="20" t="s">
        <v>327</v>
      </c>
      <c r="B124" s="6" t="s">
        <v>122</v>
      </c>
      <c r="C124" s="8">
        <v>85</v>
      </c>
      <c r="D124" s="8">
        <v>23</v>
      </c>
      <c r="E124" s="8">
        <v>44</v>
      </c>
      <c r="F124" s="8">
        <v>52</v>
      </c>
      <c r="G124" s="8">
        <v>51</v>
      </c>
      <c r="H124" s="8">
        <v>75</v>
      </c>
      <c r="I124" s="8">
        <v>76</v>
      </c>
      <c r="J124" s="8">
        <v>92</v>
      </c>
      <c r="K124" s="8">
        <v>104</v>
      </c>
      <c r="L124" s="8">
        <v>121</v>
      </c>
      <c r="M124" s="9">
        <v>215</v>
      </c>
    </row>
    <row r="125" spans="1:13" x14ac:dyDescent="0.25">
      <c r="A125" s="15" t="str">
        <f t="shared" ref="A125" si="26">LEFT(B125,5)</f>
        <v>0521Z</v>
      </c>
      <c r="B125" s="7" t="s">
        <v>123</v>
      </c>
      <c r="C125" s="8">
        <v>85</v>
      </c>
      <c r="D125" s="8">
        <v>23</v>
      </c>
      <c r="E125" s="8">
        <v>44</v>
      </c>
      <c r="F125" s="8">
        <v>52</v>
      </c>
      <c r="G125" s="8">
        <v>51</v>
      </c>
      <c r="H125" s="8">
        <v>75</v>
      </c>
      <c r="I125" s="8">
        <v>76</v>
      </c>
      <c r="J125" s="8">
        <v>92</v>
      </c>
      <c r="K125" s="8">
        <v>104</v>
      </c>
      <c r="L125" s="8">
        <v>121</v>
      </c>
      <c r="M125" s="9">
        <v>215</v>
      </c>
    </row>
    <row r="126" spans="1:13" x14ac:dyDescent="0.25">
      <c r="A126" s="15" t="str">
        <f t="shared" si="11"/>
        <v xml:space="preserve">053 </v>
      </c>
      <c r="B126" s="6" t="s">
        <v>124</v>
      </c>
      <c r="C126" s="8">
        <v>196</v>
      </c>
      <c r="D126" s="8">
        <v>93</v>
      </c>
      <c r="E126" s="8">
        <v>113</v>
      </c>
      <c r="F126" s="8">
        <v>187</v>
      </c>
      <c r="G126" s="8">
        <v>173</v>
      </c>
      <c r="H126" s="8">
        <v>166</v>
      </c>
      <c r="I126" s="8">
        <v>236</v>
      </c>
      <c r="J126" s="8">
        <v>197</v>
      </c>
      <c r="K126" s="8">
        <v>231</v>
      </c>
      <c r="L126" s="8">
        <v>258</v>
      </c>
      <c r="M126" s="9">
        <v>307</v>
      </c>
    </row>
    <row r="127" spans="1:13" x14ac:dyDescent="0.25">
      <c r="A127" s="15" t="str">
        <f t="shared" si="11"/>
        <v>0531</v>
      </c>
      <c r="B127" s="6" t="s">
        <v>125</v>
      </c>
      <c r="C127" s="8">
        <v>171</v>
      </c>
      <c r="D127" s="8">
        <v>81</v>
      </c>
      <c r="E127" s="8">
        <v>102</v>
      </c>
      <c r="F127" s="8">
        <v>175</v>
      </c>
      <c r="G127" s="8">
        <v>158</v>
      </c>
      <c r="H127" s="8">
        <v>144</v>
      </c>
      <c r="I127" s="8">
        <v>214</v>
      </c>
      <c r="J127" s="8">
        <v>157</v>
      </c>
      <c r="K127" s="8">
        <v>202</v>
      </c>
      <c r="L127" s="8">
        <v>217</v>
      </c>
      <c r="M127" s="9">
        <v>260</v>
      </c>
    </row>
    <row r="128" spans="1:13" x14ac:dyDescent="0.25">
      <c r="A128" s="15" t="str">
        <f t="shared" ref="A128" si="27">LEFT(B128,5)</f>
        <v>0531Z</v>
      </c>
      <c r="B128" s="7" t="s">
        <v>126</v>
      </c>
      <c r="C128" s="8">
        <v>171</v>
      </c>
      <c r="D128" s="8">
        <v>81</v>
      </c>
      <c r="E128" s="8">
        <v>102</v>
      </c>
      <c r="F128" s="8">
        <v>175</v>
      </c>
      <c r="G128" s="8">
        <v>158</v>
      </c>
      <c r="H128" s="8">
        <v>144</v>
      </c>
      <c r="I128" s="8">
        <v>214</v>
      </c>
      <c r="J128" s="8">
        <v>157</v>
      </c>
      <c r="K128" s="8">
        <v>202</v>
      </c>
      <c r="L128" s="8">
        <v>217</v>
      </c>
      <c r="M128" s="9">
        <v>260</v>
      </c>
    </row>
    <row r="129" spans="1:13" x14ac:dyDescent="0.25">
      <c r="A129" s="15" t="str">
        <f t="shared" si="11"/>
        <v>0532</v>
      </c>
      <c r="B129" s="6" t="s">
        <v>127</v>
      </c>
      <c r="C129" s="8">
        <v>25</v>
      </c>
      <c r="D129" s="8">
        <v>12</v>
      </c>
      <c r="E129" s="8">
        <v>12</v>
      </c>
      <c r="F129" s="8">
        <v>12</v>
      </c>
      <c r="G129" s="8">
        <v>14</v>
      </c>
      <c r="H129" s="8">
        <v>23</v>
      </c>
      <c r="I129" s="8">
        <v>23</v>
      </c>
      <c r="J129" s="8">
        <v>40</v>
      </c>
      <c r="K129" s="8">
        <v>29</v>
      </c>
      <c r="L129" s="8">
        <v>41</v>
      </c>
      <c r="M129" s="9">
        <v>47</v>
      </c>
    </row>
    <row r="130" spans="1:13" x14ac:dyDescent="0.25">
      <c r="A130" s="15" t="str">
        <f t="shared" ref="A130" si="28">LEFT(B130,5)</f>
        <v>05321</v>
      </c>
      <c r="B130" s="7" t="s">
        <v>128</v>
      </c>
      <c r="C130" s="8">
        <v>25</v>
      </c>
      <c r="D130" s="8">
        <v>12</v>
      </c>
      <c r="E130" s="8">
        <v>12</v>
      </c>
      <c r="F130" s="8">
        <v>12</v>
      </c>
      <c r="G130" s="8">
        <v>14</v>
      </c>
      <c r="H130" s="8">
        <v>23</v>
      </c>
      <c r="I130" s="8">
        <v>23</v>
      </c>
      <c r="J130" s="8">
        <v>40</v>
      </c>
      <c r="K130" s="8">
        <v>29</v>
      </c>
      <c r="L130" s="8">
        <v>41</v>
      </c>
      <c r="M130" s="9">
        <v>47</v>
      </c>
    </row>
    <row r="131" spans="1:13" x14ac:dyDescent="0.25">
      <c r="A131" s="20" t="s">
        <v>347</v>
      </c>
      <c r="B131" s="6" t="s">
        <v>129</v>
      </c>
      <c r="C131" s="8">
        <v>80</v>
      </c>
      <c r="D131" s="8">
        <v>35</v>
      </c>
      <c r="E131" s="8">
        <v>38</v>
      </c>
      <c r="F131" s="8">
        <v>54</v>
      </c>
      <c r="G131" s="8">
        <v>70</v>
      </c>
      <c r="H131" s="8">
        <v>65</v>
      </c>
      <c r="I131" s="8">
        <v>66</v>
      </c>
      <c r="J131" s="8">
        <v>93</v>
      </c>
      <c r="K131" s="8">
        <v>137</v>
      </c>
      <c r="L131" s="8">
        <v>107</v>
      </c>
      <c r="M131" s="9">
        <v>129</v>
      </c>
    </row>
    <row r="132" spans="1:13" x14ac:dyDescent="0.25">
      <c r="A132" s="20" t="s">
        <v>328</v>
      </c>
      <c r="B132" s="6" t="s">
        <v>130</v>
      </c>
      <c r="C132" s="8">
        <v>80</v>
      </c>
      <c r="D132" s="8">
        <v>35</v>
      </c>
      <c r="E132" s="8">
        <v>38</v>
      </c>
      <c r="F132" s="8">
        <v>54</v>
      </c>
      <c r="G132" s="8">
        <v>70</v>
      </c>
      <c r="H132" s="8">
        <v>65</v>
      </c>
      <c r="I132" s="8">
        <v>66</v>
      </c>
      <c r="J132" s="8">
        <v>93</v>
      </c>
      <c r="K132" s="8">
        <v>137</v>
      </c>
      <c r="L132" s="8">
        <v>107</v>
      </c>
      <c r="M132" s="9">
        <v>129</v>
      </c>
    </row>
    <row r="133" spans="1:13" x14ac:dyDescent="0.25">
      <c r="A133" s="15" t="str">
        <f t="shared" ref="A133" si="29">LEFT(B133,5)</f>
        <v>0541Z</v>
      </c>
      <c r="B133" s="7" t="s">
        <v>131</v>
      </c>
      <c r="C133" s="8">
        <v>80</v>
      </c>
      <c r="D133" s="8">
        <v>35</v>
      </c>
      <c r="E133" s="8">
        <v>38</v>
      </c>
      <c r="F133" s="8">
        <v>54</v>
      </c>
      <c r="G133" s="8">
        <v>70</v>
      </c>
      <c r="H133" s="8">
        <v>65</v>
      </c>
      <c r="I133" s="8">
        <v>66</v>
      </c>
      <c r="J133" s="8">
        <v>93</v>
      </c>
      <c r="K133" s="8">
        <v>137</v>
      </c>
      <c r="L133" s="8">
        <v>107</v>
      </c>
      <c r="M133" s="9">
        <v>129</v>
      </c>
    </row>
    <row r="134" spans="1:13" x14ac:dyDescent="0.25">
      <c r="A134" s="15" t="str">
        <f t="shared" si="11"/>
        <v xml:space="preserve">055 </v>
      </c>
      <c r="B134" s="6" t="s">
        <v>132</v>
      </c>
      <c r="C134" s="8">
        <v>208</v>
      </c>
      <c r="D134" s="8">
        <v>47</v>
      </c>
      <c r="E134" s="8">
        <v>105</v>
      </c>
      <c r="F134" s="8">
        <v>129</v>
      </c>
      <c r="G134" s="8">
        <v>138</v>
      </c>
      <c r="H134" s="8">
        <v>143</v>
      </c>
      <c r="I134" s="8">
        <v>165</v>
      </c>
      <c r="J134" s="8">
        <v>249</v>
      </c>
      <c r="K134" s="8">
        <v>354</v>
      </c>
      <c r="L134" s="8">
        <v>238</v>
      </c>
      <c r="M134" s="9">
        <v>509</v>
      </c>
    </row>
    <row r="135" spans="1:13" x14ac:dyDescent="0.25">
      <c r="A135" s="15" t="str">
        <f t="shared" ref="A135:A197" si="30">LEFT(B135,4)</f>
        <v>0551</v>
      </c>
      <c r="B135" s="6" t="s">
        <v>133</v>
      </c>
      <c r="C135" s="8">
        <v>74</v>
      </c>
      <c r="D135" s="8">
        <v>16</v>
      </c>
      <c r="E135" s="8">
        <v>41</v>
      </c>
      <c r="F135" s="8">
        <v>48</v>
      </c>
      <c r="G135" s="8">
        <v>49</v>
      </c>
      <c r="H135" s="8">
        <v>65</v>
      </c>
      <c r="I135" s="8">
        <v>56</v>
      </c>
      <c r="J135" s="8">
        <v>113</v>
      </c>
      <c r="K135" s="8">
        <v>89</v>
      </c>
      <c r="L135" s="8">
        <v>77</v>
      </c>
      <c r="M135" s="9">
        <v>191</v>
      </c>
    </row>
    <row r="136" spans="1:13" x14ac:dyDescent="0.25">
      <c r="A136" s="15" t="str">
        <f t="shared" ref="A136" si="31">LEFT(B136,5)</f>
        <v>0551Z</v>
      </c>
      <c r="B136" s="7" t="s">
        <v>134</v>
      </c>
      <c r="C136" s="8">
        <v>74</v>
      </c>
      <c r="D136" s="8">
        <v>16</v>
      </c>
      <c r="E136" s="8">
        <v>41</v>
      </c>
      <c r="F136" s="8">
        <v>48</v>
      </c>
      <c r="G136" s="8">
        <v>49</v>
      </c>
      <c r="H136" s="8">
        <v>65</v>
      </c>
      <c r="I136" s="8">
        <v>56</v>
      </c>
      <c r="J136" s="8">
        <v>113</v>
      </c>
      <c r="K136" s="8">
        <v>89</v>
      </c>
      <c r="L136" s="8">
        <v>77</v>
      </c>
      <c r="M136" s="9">
        <v>191</v>
      </c>
    </row>
    <row r="137" spans="1:13" x14ac:dyDescent="0.25">
      <c r="A137" s="15" t="str">
        <f t="shared" si="30"/>
        <v>0552</v>
      </c>
      <c r="B137" s="6" t="s">
        <v>135</v>
      </c>
      <c r="C137" s="8">
        <v>134</v>
      </c>
      <c r="D137" s="8">
        <v>32</v>
      </c>
      <c r="E137" s="8">
        <v>65</v>
      </c>
      <c r="F137" s="8">
        <v>81</v>
      </c>
      <c r="G137" s="8">
        <v>89</v>
      </c>
      <c r="H137" s="8">
        <v>79</v>
      </c>
      <c r="I137" s="8">
        <v>109</v>
      </c>
      <c r="J137" s="8">
        <v>136</v>
      </c>
      <c r="K137" s="8">
        <v>265</v>
      </c>
      <c r="L137" s="8">
        <v>161</v>
      </c>
      <c r="M137" s="9">
        <v>318</v>
      </c>
    </row>
    <row r="138" spans="1:13" x14ac:dyDescent="0.25">
      <c r="A138" s="15" t="str">
        <f t="shared" ref="A138" si="32">LEFT(B138,5)</f>
        <v>0552Z</v>
      </c>
      <c r="B138" s="7" t="s">
        <v>136</v>
      </c>
      <c r="C138" s="8">
        <v>134</v>
      </c>
      <c r="D138" s="8">
        <v>32</v>
      </c>
      <c r="E138" s="8">
        <v>65</v>
      </c>
      <c r="F138" s="8">
        <v>81</v>
      </c>
      <c r="G138" s="8">
        <v>89</v>
      </c>
      <c r="H138" s="8">
        <v>79</v>
      </c>
      <c r="I138" s="8">
        <v>109</v>
      </c>
      <c r="J138" s="8">
        <v>136</v>
      </c>
      <c r="K138" s="8">
        <v>265</v>
      </c>
      <c r="L138" s="8">
        <v>161</v>
      </c>
      <c r="M138" s="9">
        <v>318</v>
      </c>
    </row>
    <row r="139" spans="1:13" x14ac:dyDescent="0.25">
      <c r="A139" s="15" t="str">
        <f t="shared" si="30"/>
        <v xml:space="preserve">056 </v>
      </c>
      <c r="B139" s="6" t="s">
        <v>137</v>
      </c>
      <c r="C139" s="8">
        <v>517</v>
      </c>
      <c r="D139" s="8">
        <v>215</v>
      </c>
      <c r="E139" s="8">
        <v>247</v>
      </c>
      <c r="F139" s="8">
        <v>287</v>
      </c>
      <c r="G139" s="8">
        <v>308</v>
      </c>
      <c r="H139" s="8">
        <v>336</v>
      </c>
      <c r="I139" s="8">
        <v>355</v>
      </c>
      <c r="J139" s="8">
        <v>482</v>
      </c>
      <c r="K139" s="8">
        <v>523</v>
      </c>
      <c r="L139" s="8">
        <v>750</v>
      </c>
      <c r="M139" s="9">
        <v>1661</v>
      </c>
    </row>
    <row r="140" spans="1:13" x14ac:dyDescent="0.25">
      <c r="A140" s="15" t="str">
        <f t="shared" si="30"/>
        <v>0561</v>
      </c>
      <c r="B140" s="6" t="s">
        <v>138</v>
      </c>
      <c r="C140" s="8">
        <v>236</v>
      </c>
      <c r="D140" s="8">
        <v>152</v>
      </c>
      <c r="E140" s="8">
        <v>205</v>
      </c>
      <c r="F140" s="8">
        <v>196</v>
      </c>
      <c r="G140" s="8">
        <v>225</v>
      </c>
      <c r="H140" s="8">
        <v>235</v>
      </c>
      <c r="I140" s="8">
        <v>222</v>
      </c>
      <c r="J140" s="8">
        <v>249</v>
      </c>
      <c r="K140" s="8">
        <v>274</v>
      </c>
      <c r="L140" s="8">
        <v>280</v>
      </c>
      <c r="M140" s="9">
        <v>318</v>
      </c>
    </row>
    <row r="141" spans="1:13" x14ac:dyDescent="0.25">
      <c r="A141" s="15" t="str">
        <f t="shared" ref="A141" si="33">LEFT(B141,5)</f>
        <v>0561Z</v>
      </c>
      <c r="B141" s="7" t="s">
        <v>139</v>
      </c>
      <c r="C141" s="8">
        <v>236</v>
      </c>
      <c r="D141" s="8">
        <v>152</v>
      </c>
      <c r="E141" s="8">
        <v>205</v>
      </c>
      <c r="F141" s="8">
        <v>196</v>
      </c>
      <c r="G141" s="8">
        <v>225</v>
      </c>
      <c r="H141" s="8">
        <v>235</v>
      </c>
      <c r="I141" s="8">
        <v>222</v>
      </c>
      <c r="J141" s="8">
        <v>249</v>
      </c>
      <c r="K141" s="8">
        <v>274</v>
      </c>
      <c r="L141" s="8">
        <v>280</v>
      </c>
      <c r="M141" s="9">
        <v>318</v>
      </c>
    </row>
    <row r="142" spans="1:13" x14ac:dyDescent="0.25">
      <c r="A142" s="15" t="str">
        <f t="shared" si="30"/>
        <v>0562</v>
      </c>
      <c r="B142" s="6" t="s">
        <v>140</v>
      </c>
      <c r="C142" s="8">
        <v>281</v>
      </c>
      <c r="D142" s="8">
        <v>63</v>
      </c>
      <c r="E142" s="8">
        <v>42</v>
      </c>
      <c r="F142" s="8">
        <v>91</v>
      </c>
      <c r="G142" s="8">
        <v>83</v>
      </c>
      <c r="H142" s="8">
        <v>100</v>
      </c>
      <c r="I142" s="8">
        <v>133</v>
      </c>
      <c r="J142" s="8">
        <v>233</v>
      </c>
      <c r="K142" s="8">
        <v>249</v>
      </c>
      <c r="L142" s="8">
        <v>470</v>
      </c>
      <c r="M142" s="9">
        <v>1344</v>
      </c>
    </row>
    <row r="143" spans="1:13" x14ac:dyDescent="0.25">
      <c r="A143" s="15" t="str">
        <f t="shared" ref="A143" si="34">LEFT(B143,5)</f>
        <v>0562Z</v>
      </c>
      <c r="B143" s="7" t="s">
        <v>141</v>
      </c>
      <c r="C143" s="8">
        <v>281</v>
      </c>
      <c r="D143" s="8">
        <v>63</v>
      </c>
      <c r="E143" s="8">
        <v>42</v>
      </c>
      <c r="F143" s="8">
        <v>91</v>
      </c>
      <c r="G143" s="8">
        <v>83</v>
      </c>
      <c r="H143" s="8">
        <v>100</v>
      </c>
      <c r="I143" s="8">
        <v>133</v>
      </c>
      <c r="J143" s="8">
        <v>233</v>
      </c>
      <c r="K143" s="8">
        <v>249</v>
      </c>
      <c r="L143" s="8">
        <v>470</v>
      </c>
      <c r="M143" s="9">
        <v>1344</v>
      </c>
    </row>
    <row r="144" spans="1:13" x14ac:dyDescent="0.25">
      <c r="A144" s="15" t="str">
        <f t="shared" si="30"/>
        <v xml:space="preserve">057 </v>
      </c>
      <c r="B144" s="6" t="s">
        <v>142</v>
      </c>
      <c r="C144" s="8">
        <v>48</v>
      </c>
      <c r="D144" s="8">
        <v>14</v>
      </c>
      <c r="E144" s="8">
        <v>18</v>
      </c>
      <c r="F144" s="8">
        <v>28</v>
      </c>
      <c r="G144" s="8">
        <v>22</v>
      </c>
      <c r="H144" s="8">
        <v>25</v>
      </c>
      <c r="I144" s="8">
        <v>60</v>
      </c>
      <c r="J144" s="8">
        <v>42</v>
      </c>
      <c r="K144" s="8">
        <v>59</v>
      </c>
      <c r="L144" s="8">
        <v>76</v>
      </c>
      <c r="M144" s="9">
        <v>133</v>
      </c>
    </row>
    <row r="145" spans="1:13" x14ac:dyDescent="0.25">
      <c r="A145" s="15" t="str">
        <f t="shared" si="30"/>
        <v>0571</v>
      </c>
      <c r="B145" s="6" t="s">
        <v>143</v>
      </c>
      <c r="C145" s="8">
        <v>48</v>
      </c>
      <c r="D145" s="8">
        <v>14</v>
      </c>
      <c r="E145" s="8">
        <v>18</v>
      </c>
      <c r="F145" s="8">
        <v>28</v>
      </c>
      <c r="G145" s="8">
        <v>22</v>
      </c>
      <c r="H145" s="8">
        <v>25</v>
      </c>
      <c r="I145" s="8">
        <v>60</v>
      </c>
      <c r="J145" s="8">
        <v>42</v>
      </c>
      <c r="K145" s="8">
        <v>59</v>
      </c>
      <c r="L145" s="8">
        <v>76</v>
      </c>
      <c r="M145" s="9">
        <v>133</v>
      </c>
    </row>
    <row r="146" spans="1:13" x14ac:dyDescent="0.25">
      <c r="A146" s="15" t="str">
        <f t="shared" ref="A146" si="35">LEFT(B146,5)</f>
        <v>0571Z</v>
      </c>
      <c r="B146" s="7" t="s">
        <v>144</v>
      </c>
      <c r="C146" s="8">
        <v>48</v>
      </c>
      <c r="D146" s="8">
        <v>14</v>
      </c>
      <c r="E146" s="8">
        <v>18</v>
      </c>
      <c r="F146" s="8">
        <v>28</v>
      </c>
      <c r="G146" s="8">
        <v>22</v>
      </c>
      <c r="H146" s="8">
        <v>25</v>
      </c>
      <c r="I146" s="8">
        <v>60</v>
      </c>
      <c r="J146" s="8">
        <v>42</v>
      </c>
      <c r="K146" s="8">
        <v>59</v>
      </c>
      <c r="L146" s="8">
        <v>76</v>
      </c>
      <c r="M146" s="9">
        <v>133</v>
      </c>
    </row>
    <row r="147" spans="1:13" x14ac:dyDescent="0.25">
      <c r="A147" s="16" t="s">
        <v>315</v>
      </c>
      <c r="B147" s="6" t="s">
        <v>145</v>
      </c>
      <c r="C147" s="8">
        <v>505</v>
      </c>
      <c r="D147" s="8">
        <v>254</v>
      </c>
      <c r="E147" s="8">
        <v>323</v>
      </c>
      <c r="F147" s="8">
        <v>393</v>
      </c>
      <c r="G147" s="8">
        <v>413</v>
      </c>
      <c r="H147" s="8">
        <v>470</v>
      </c>
      <c r="I147" s="8">
        <v>492</v>
      </c>
      <c r="J147" s="8">
        <v>578</v>
      </c>
      <c r="K147" s="8">
        <v>630</v>
      </c>
      <c r="L147" s="8">
        <v>725</v>
      </c>
      <c r="M147" s="9">
        <v>768</v>
      </c>
    </row>
    <row r="148" spans="1:13" x14ac:dyDescent="0.25">
      <c r="A148" s="22" t="str">
        <f t="shared" si="30"/>
        <v xml:space="preserve">061 </v>
      </c>
      <c r="B148" s="6" t="s">
        <v>146</v>
      </c>
      <c r="C148" s="8">
        <v>254</v>
      </c>
      <c r="D148" s="8">
        <v>139</v>
      </c>
      <c r="E148" s="8">
        <v>180</v>
      </c>
      <c r="F148" s="8">
        <v>187</v>
      </c>
      <c r="G148" s="8">
        <v>209</v>
      </c>
      <c r="H148" s="8">
        <v>246</v>
      </c>
      <c r="I148" s="8">
        <v>234</v>
      </c>
      <c r="J148" s="8">
        <v>255</v>
      </c>
      <c r="K148" s="8">
        <v>283</v>
      </c>
      <c r="L148" s="8">
        <v>400</v>
      </c>
      <c r="M148" s="9">
        <v>410</v>
      </c>
    </row>
    <row r="149" spans="1:13" x14ac:dyDescent="0.25">
      <c r="A149" s="15" t="str">
        <f t="shared" si="30"/>
        <v>0611</v>
      </c>
      <c r="B149" s="6" t="s">
        <v>147</v>
      </c>
      <c r="C149" s="8">
        <v>254</v>
      </c>
      <c r="D149" s="8">
        <v>139</v>
      </c>
      <c r="E149" s="8">
        <v>180</v>
      </c>
      <c r="F149" s="8">
        <v>187</v>
      </c>
      <c r="G149" s="8">
        <v>209</v>
      </c>
      <c r="H149" s="8">
        <v>246</v>
      </c>
      <c r="I149" s="8">
        <v>234</v>
      </c>
      <c r="J149" s="8">
        <v>255</v>
      </c>
      <c r="K149" s="8">
        <v>283</v>
      </c>
      <c r="L149" s="8">
        <v>400</v>
      </c>
      <c r="M149" s="9">
        <v>410</v>
      </c>
    </row>
    <row r="150" spans="1:13" x14ac:dyDescent="0.25">
      <c r="A150" s="15" t="str">
        <f t="shared" ref="A150" si="36">LEFT(B150,5)</f>
        <v>0611Z</v>
      </c>
      <c r="B150" s="7" t="s">
        <v>148</v>
      </c>
      <c r="C150" s="8">
        <v>254</v>
      </c>
      <c r="D150" s="8">
        <v>139</v>
      </c>
      <c r="E150" s="8">
        <v>180</v>
      </c>
      <c r="F150" s="8">
        <v>187</v>
      </c>
      <c r="G150" s="8">
        <v>209</v>
      </c>
      <c r="H150" s="8">
        <v>246</v>
      </c>
      <c r="I150" s="8">
        <v>234</v>
      </c>
      <c r="J150" s="8">
        <v>255</v>
      </c>
      <c r="K150" s="8">
        <v>283</v>
      </c>
      <c r="L150" s="8">
        <v>400</v>
      </c>
      <c r="M150" s="9">
        <v>410</v>
      </c>
    </row>
    <row r="151" spans="1:13" x14ac:dyDescent="0.25">
      <c r="A151" s="15" t="str">
        <f t="shared" si="30"/>
        <v xml:space="preserve">062 </v>
      </c>
      <c r="B151" s="6" t="s">
        <v>149</v>
      </c>
      <c r="C151" s="8">
        <v>217</v>
      </c>
      <c r="D151" s="8">
        <v>98</v>
      </c>
      <c r="E151" s="8">
        <v>124</v>
      </c>
      <c r="F151" s="8">
        <v>179</v>
      </c>
      <c r="G151" s="8">
        <v>185</v>
      </c>
      <c r="H151" s="8">
        <v>194</v>
      </c>
      <c r="I151" s="8">
        <v>231</v>
      </c>
      <c r="J151" s="8">
        <v>273</v>
      </c>
      <c r="K151" s="8">
        <v>305</v>
      </c>
      <c r="L151" s="8">
        <v>279</v>
      </c>
      <c r="M151" s="9">
        <v>301</v>
      </c>
    </row>
    <row r="152" spans="1:13" x14ac:dyDescent="0.25">
      <c r="A152" s="15" t="str">
        <f t="shared" si="30"/>
        <v>0621</v>
      </c>
      <c r="B152" s="6" t="s">
        <v>150</v>
      </c>
      <c r="C152" s="8">
        <v>101</v>
      </c>
      <c r="D152" s="8">
        <v>42</v>
      </c>
      <c r="E152" s="8">
        <v>53</v>
      </c>
      <c r="F152" s="8">
        <v>77</v>
      </c>
      <c r="G152" s="8">
        <v>99</v>
      </c>
      <c r="H152" s="8">
        <v>100</v>
      </c>
      <c r="I152" s="8">
        <v>124</v>
      </c>
      <c r="J152" s="8">
        <v>107</v>
      </c>
      <c r="K152" s="8">
        <v>184</v>
      </c>
      <c r="L152" s="8">
        <v>101</v>
      </c>
      <c r="M152" s="9">
        <v>122</v>
      </c>
    </row>
    <row r="153" spans="1:13" x14ac:dyDescent="0.25">
      <c r="A153" s="15" t="str">
        <f t="shared" ref="A153" si="37">LEFT(B153,5)</f>
        <v>06211</v>
      </c>
      <c r="B153" s="7" t="s">
        <v>151</v>
      </c>
      <c r="C153" s="8">
        <v>101</v>
      </c>
      <c r="D153" s="8">
        <v>42</v>
      </c>
      <c r="E153" s="8">
        <v>53</v>
      </c>
      <c r="F153" s="8">
        <v>77</v>
      </c>
      <c r="G153" s="8">
        <v>99</v>
      </c>
      <c r="H153" s="8">
        <v>100</v>
      </c>
      <c r="I153" s="8">
        <v>124</v>
      </c>
      <c r="J153" s="8">
        <v>107</v>
      </c>
      <c r="K153" s="8">
        <v>184</v>
      </c>
      <c r="L153" s="8">
        <v>101</v>
      </c>
      <c r="M153" s="9">
        <v>122</v>
      </c>
    </row>
    <row r="154" spans="1:13" x14ac:dyDescent="0.25">
      <c r="A154" s="15" t="str">
        <f t="shared" si="30"/>
        <v>0622</v>
      </c>
      <c r="B154" s="6" t="s">
        <v>152</v>
      </c>
      <c r="C154" s="8">
        <v>61</v>
      </c>
      <c r="D154" s="8">
        <v>27</v>
      </c>
      <c r="E154" s="8">
        <v>39</v>
      </c>
      <c r="F154" s="8">
        <v>54</v>
      </c>
      <c r="G154" s="8">
        <v>46</v>
      </c>
      <c r="H154" s="8">
        <v>49</v>
      </c>
      <c r="I154" s="8">
        <v>67</v>
      </c>
      <c r="J154" s="8">
        <v>84</v>
      </c>
      <c r="K154" s="8">
        <v>61</v>
      </c>
      <c r="L154" s="8">
        <v>99</v>
      </c>
      <c r="M154" s="9">
        <v>86</v>
      </c>
    </row>
    <row r="155" spans="1:13" x14ac:dyDescent="0.25">
      <c r="A155" s="15" t="str">
        <f t="shared" ref="A155" si="38">LEFT(B155,5)</f>
        <v>06221</v>
      </c>
      <c r="B155" s="7" t="s">
        <v>153</v>
      </c>
      <c r="C155" s="8">
        <v>61</v>
      </c>
      <c r="D155" s="8">
        <v>27</v>
      </c>
      <c r="E155" s="8">
        <v>39</v>
      </c>
      <c r="F155" s="8">
        <v>54</v>
      </c>
      <c r="G155" s="8">
        <v>46</v>
      </c>
      <c r="H155" s="8">
        <v>49</v>
      </c>
      <c r="I155" s="8">
        <v>67</v>
      </c>
      <c r="J155" s="8">
        <v>84</v>
      </c>
      <c r="K155" s="8">
        <v>61</v>
      </c>
      <c r="L155" s="8">
        <v>99</v>
      </c>
      <c r="M155" s="9">
        <v>86</v>
      </c>
    </row>
    <row r="156" spans="1:13" x14ac:dyDescent="0.25">
      <c r="A156" s="15" t="str">
        <f t="shared" si="30"/>
        <v>0623</v>
      </c>
      <c r="B156" s="6" t="s">
        <v>154</v>
      </c>
      <c r="C156" s="8">
        <v>55</v>
      </c>
      <c r="D156" s="8">
        <v>29</v>
      </c>
      <c r="E156" s="8">
        <v>32</v>
      </c>
      <c r="F156" s="8">
        <v>47</v>
      </c>
      <c r="G156" s="8">
        <v>41</v>
      </c>
      <c r="H156" s="8">
        <v>45</v>
      </c>
      <c r="I156" s="8">
        <v>40</v>
      </c>
      <c r="J156" s="8">
        <v>82</v>
      </c>
      <c r="K156" s="8">
        <v>60</v>
      </c>
      <c r="L156" s="8">
        <v>79</v>
      </c>
      <c r="M156" s="9">
        <v>92</v>
      </c>
    </row>
    <row r="157" spans="1:13" x14ac:dyDescent="0.25">
      <c r="A157" s="15" t="str">
        <f t="shared" ref="A157" si="39">LEFT(B157,5)</f>
        <v>0623Z</v>
      </c>
      <c r="B157" s="7" t="s">
        <v>155</v>
      </c>
      <c r="C157" s="8">
        <v>55</v>
      </c>
      <c r="D157" s="8">
        <v>29</v>
      </c>
      <c r="E157" s="8">
        <v>32</v>
      </c>
      <c r="F157" s="8">
        <v>47</v>
      </c>
      <c r="G157" s="8">
        <v>41</v>
      </c>
      <c r="H157" s="8">
        <v>45</v>
      </c>
      <c r="I157" s="8">
        <v>40</v>
      </c>
      <c r="J157" s="8">
        <v>82</v>
      </c>
      <c r="K157" s="8">
        <v>60</v>
      </c>
      <c r="L157" s="8">
        <v>79</v>
      </c>
      <c r="M157" s="9">
        <v>92</v>
      </c>
    </row>
    <row r="158" spans="1:13" x14ac:dyDescent="0.25">
      <c r="A158" s="15" t="str">
        <f t="shared" si="30"/>
        <v xml:space="preserve">063 </v>
      </c>
      <c r="B158" s="6" t="s">
        <v>156</v>
      </c>
      <c r="C158" s="8">
        <v>25</v>
      </c>
      <c r="D158" s="8">
        <v>10</v>
      </c>
      <c r="E158" s="8">
        <v>16</v>
      </c>
      <c r="F158" s="8">
        <v>24</v>
      </c>
      <c r="G158" s="8">
        <v>17</v>
      </c>
      <c r="H158" s="8">
        <v>28</v>
      </c>
      <c r="I158" s="8">
        <v>22</v>
      </c>
      <c r="J158" s="8">
        <v>35</v>
      </c>
      <c r="K158" s="8">
        <v>37</v>
      </c>
      <c r="L158" s="8">
        <v>25</v>
      </c>
      <c r="M158" s="9">
        <v>37</v>
      </c>
    </row>
    <row r="159" spans="1:13" x14ac:dyDescent="0.25">
      <c r="A159" s="15" t="str">
        <f t="shared" si="30"/>
        <v>0631</v>
      </c>
      <c r="B159" s="6" t="s">
        <v>157</v>
      </c>
      <c r="C159" s="8">
        <v>25</v>
      </c>
      <c r="D159" s="8">
        <v>10</v>
      </c>
      <c r="E159" s="8">
        <v>16</v>
      </c>
      <c r="F159" s="8">
        <v>24</v>
      </c>
      <c r="G159" s="8">
        <v>17</v>
      </c>
      <c r="H159" s="8">
        <v>28</v>
      </c>
      <c r="I159" s="8">
        <v>22</v>
      </c>
      <c r="J159" s="8">
        <v>35</v>
      </c>
      <c r="K159" s="8">
        <v>37</v>
      </c>
      <c r="L159" s="8">
        <v>25</v>
      </c>
      <c r="M159" s="9">
        <v>37</v>
      </c>
    </row>
    <row r="160" spans="1:13" x14ac:dyDescent="0.25">
      <c r="A160" s="15" t="str">
        <f t="shared" ref="A160" si="40">LEFT(B160,5)</f>
        <v>06311</v>
      </c>
      <c r="B160" s="7" t="s">
        <v>158</v>
      </c>
      <c r="C160" s="8">
        <v>25</v>
      </c>
      <c r="D160" s="8">
        <v>10</v>
      </c>
      <c r="E160" s="8">
        <v>16</v>
      </c>
      <c r="F160" s="8">
        <v>24</v>
      </c>
      <c r="G160" s="8">
        <v>17</v>
      </c>
      <c r="H160" s="8">
        <v>28</v>
      </c>
      <c r="I160" s="8">
        <v>22</v>
      </c>
      <c r="J160" s="8">
        <v>35</v>
      </c>
      <c r="K160" s="8">
        <v>37</v>
      </c>
      <c r="L160" s="8">
        <v>25</v>
      </c>
      <c r="M160" s="9">
        <v>37</v>
      </c>
    </row>
    <row r="161" spans="1:13" x14ac:dyDescent="0.25">
      <c r="A161" s="15" t="str">
        <f t="shared" si="30"/>
        <v xml:space="preserve">064 </v>
      </c>
      <c r="B161" s="6" t="s">
        <v>159</v>
      </c>
      <c r="C161" s="8">
        <v>9</v>
      </c>
      <c r="D161" s="8">
        <v>7</v>
      </c>
      <c r="E161" s="8">
        <v>3</v>
      </c>
      <c r="F161" s="8">
        <v>4</v>
      </c>
      <c r="G161" s="8">
        <v>2</v>
      </c>
      <c r="H161" s="8">
        <v>2</v>
      </c>
      <c r="I161" s="8">
        <v>4</v>
      </c>
      <c r="J161" s="8">
        <v>16</v>
      </c>
      <c r="K161" s="8">
        <v>5</v>
      </c>
      <c r="L161" s="8">
        <v>21</v>
      </c>
      <c r="M161" s="9">
        <v>21</v>
      </c>
    </row>
    <row r="162" spans="1:13" x14ac:dyDescent="0.25">
      <c r="A162" s="15" t="str">
        <f t="shared" si="30"/>
        <v>0641</v>
      </c>
      <c r="B162" s="6" t="s">
        <v>160</v>
      </c>
      <c r="C162" s="8">
        <v>9</v>
      </c>
      <c r="D162" s="8">
        <v>7</v>
      </c>
      <c r="E162" s="8">
        <v>3</v>
      </c>
      <c r="F162" s="8">
        <v>4</v>
      </c>
      <c r="G162" s="8">
        <v>2</v>
      </c>
      <c r="H162" s="8">
        <v>2</v>
      </c>
      <c r="I162" s="8">
        <v>4</v>
      </c>
      <c r="J162" s="8">
        <v>16</v>
      </c>
      <c r="K162" s="8">
        <v>5</v>
      </c>
      <c r="L162" s="8">
        <v>21</v>
      </c>
      <c r="M162" s="9">
        <v>21</v>
      </c>
    </row>
    <row r="163" spans="1:13" x14ac:dyDescent="0.25">
      <c r="A163" s="15" t="str">
        <f t="shared" ref="A163" si="41">LEFT(B163,5)</f>
        <v>0641Z</v>
      </c>
      <c r="B163" s="7" t="s">
        <v>161</v>
      </c>
      <c r="C163" s="8">
        <v>9</v>
      </c>
      <c r="D163" s="8">
        <v>7</v>
      </c>
      <c r="E163" s="8">
        <v>3</v>
      </c>
      <c r="F163" s="8">
        <v>4</v>
      </c>
      <c r="G163" s="8">
        <v>2</v>
      </c>
      <c r="H163" s="8">
        <v>2</v>
      </c>
      <c r="I163" s="8">
        <v>4</v>
      </c>
      <c r="J163" s="8">
        <v>16</v>
      </c>
      <c r="K163" s="8">
        <v>5</v>
      </c>
      <c r="L163" s="8">
        <v>21</v>
      </c>
      <c r="M163" s="9">
        <v>21</v>
      </c>
    </row>
    <row r="164" spans="1:13" x14ac:dyDescent="0.25">
      <c r="A164" s="16" t="s">
        <v>316</v>
      </c>
      <c r="B164" s="6" t="s">
        <v>162</v>
      </c>
      <c r="C164" s="8">
        <v>4482</v>
      </c>
      <c r="D164" s="8">
        <v>2189</v>
      </c>
      <c r="E164" s="8">
        <v>2502</v>
      </c>
      <c r="F164" s="8">
        <v>2725</v>
      </c>
      <c r="G164" s="8">
        <v>3482</v>
      </c>
      <c r="H164" s="8">
        <v>3796</v>
      </c>
      <c r="I164" s="8">
        <v>4518</v>
      </c>
      <c r="J164" s="8">
        <v>5119</v>
      </c>
      <c r="K164" s="8">
        <v>5611</v>
      </c>
      <c r="L164" s="8">
        <v>6034</v>
      </c>
      <c r="M164" s="9">
        <v>8813</v>
      </c>
    </row>
    <row r="165" spans="1:13" x14ac:dyDescent="0.25">
      <c r="A165" s="15" t="str">
        <f t="shared" si="30"/>
        <v xml:space="preserve">071 </v>
      </c>
      <c r="B165" s="6" t="s">
        <v>163</v>
      </c>
      <c r="C165" s="8">
        <v>1917</v>
      </c>
      <c r="D165" s="8">
        <v>660</v>
      </c>
      <c r="E165" s="8">
        <v>812</v>
      </c>
      <c r="F165" s="8">
        <v>1021</v>
      </c>
      <c r="G165" s="8">
        <v>1453</v>
      </c>
      <c r="H165" s="8">
        <v>1512</v>
      </c>
      <c r="I165" s="8">
        <v>1975</v>
      </c>
      <c r="J165" s="8">
        <v>2321</v>
      </c>
      <c r="K165" s="8">
        <v>2650</v>
      </c>
      <c r="L165" s="8">
        <v>2500</v>
      </c>
      <c r="M165" s="9">
        <v>4251</v>
      </c>
    </row>
    <row r="166" spans="1:13" x14ac:dyDescent="0.25">
      <c r="A166" s="15" t="str">
        <f t="shared" si="30"/>
        <v>0711</v>
      </c>
      <c r="B166" s="6" t="s">
        <v>164</v>
      </c>
      <c r="C166" s="8">
        <v>1808</v>
      </c>
      <c r="D166" s="8">
        <v>617</v>
      </c>
      <c r="E166" s="8">
        <v>771</v>
      </c>
      <c r="F166" s="8">
        <v>960</v>
      </c>
      <c r="G166" s="8">
        <v>1363</v>
      </c>
      <c r="H166" s="8">
        <v>1441</v>
      </c>
      <c r="I166" s="8">
        <v>1815</v>
      </c>
      <c r="J166" s="8">
        <v>2202</v>
      </c>
      <c r="K166" s="8">
        <v>2527</v>
      </c>
      <c r="L166" s="8">
        <v>2317</v>
      </c>
      <c r="M166" s="9">
        <v>4055</v>
      </c>
    </row>
    <row r="167" spans="1:13" x14ac:dyDescent="0.25">
      <c r="A167" s="15" t="str">
        <f t="shared" ref="A167" si="42">LEFT(B167,5)</f>
        <v>0711Z</v>
      </c>
      <c r="B167" s="7" t="s">
        <v>165</v>
      </c>
      <c r="C167" s="8">
        <v>1808</v>
      </c>
      <c r="D167" s="8">
        <v>617</v>
      </c>
      <c r="E167" s="8">
        <v>771</v>
      </c>
      <c r="F167" s="8">
        <v>960</v>
      </c>
      <c r="G167" s="8">
        <v>1363</v>
      </c>
      <c r="H167" s="8">
        <v>1441</v>
      </c>
      <c r="I167" s="8">
        <v>1815</v>
      </c>
      <c r="J167" s="8">
        <v>2202</v>
      </c>
      <c r="K167" s="8">
        <v>2527</v>
      </c>
      <c r="L167" s="8">
        <v>2317</v>
      </c>
      <c r="M167" s="9">
        <v>4055</v>
      </c>
    </row>
    <row r="168" spans="1:13" x14ac:dyDescent="0.25">
      <c r="A168" s="15" t="str">
        <f t="shared" si="30"/>
        <v>0712</v>
      </c>
      <c r="B168" s="6" t="s">
        <v>166</v>
      </c>
      <c r="C168" s="8">
        <v>74</v>
      </c>
      <c r="D168" s="8">
        <v>30</v>
      </c>
      <c r="E168" s="8">
        <v>27</v>
      </c>
      <c r="F168" s="8">
        <v>46</v>
      </c>
      <c r="G168" s="8">
        <v>59</v>
      </c>
      <c r="H168" s="8">
        <v>46</v>
      </c>
      <c r="I168" s="8">
        <v>115</v>
      </c>
      <c r="J168" s="8">
        <v>83</v>
      </c>
      <c r="K168" s="8">
        <v>77</v>
      </c>
      <c r="L168" s="8">
        <v>117</v>
      </c>
      <c r="M168" s="9">
        <v>134</v>
      </c>
    </row>
    <row r="169" spans="1:13" x14ac:dyDescent="0.25">
      <c r="A169" s="15" t="str">
        <f t="shared" ref="A169" si="43">LEFT(B169,5)</f>
        <v>07121</v>
      </c>
      <c r="B169" s="7" t="s">
        <v>167</v>
      </c>
      <c r="C169" s="8">
        <v>74</v>
      </c>
      <c r="D169" s="8">
        <v>30</v>
      </c>
      <c r="E169" s="8">
        <v>27</v>
      </c>
      <c r="F169" s="8">
        <v>46</v>
      </c>
      <c r="G169" s="8">
        <v>59</v>
      </c>
      <c r="H169" s="8">
        <v>46</v>
      </c>
      <c r="I169" s="8">
        <v>115</v>
      </c>
      <c r="J169" s="8">
        <v>83</v>
      </c>
      <c r="K169" s="8">
        <v>77</v>
      </c>
      <c r="L169" s="8">
        <v>117</v>
      </c>
      <c r="M169" s="9">
        <v>134</v>
      </c>
    </row>
    <row r="170" spans="1:13" x14ac:dyDescent="0.25">
      <c r="A170" s="15" t="str">
        <f t="shared" si="30"/>
        <v>0713</v>
      </c>
      <c r="B170" s="6" t="s">
        <v>168</v>
      </c>
      <c r="C170" s="8">
        <v>35</v>
      </c>
      <c r="D170" s="8">
        <v>13</v>
      </c>
      <c r="E170" s="8">
        <v>14</v>
      </c>
      <c r="F170" s="8">
        <v>15</v>
      </c>
      <c r="G170" s="8">
        <v>31</v>
      </c>
      <c r="H170" s="8">
        <v>25</v>
      </c>
      <c r="I170" s="8">
        <v>46</v>
      </c>
      <c r="J170" s="8">
        <v>36</v>
      </c>
      <c r="K170" s="8">
        <v>45</v>
      </c>
      <c r="L170" s="8">
        <v>66</v>
      </c>
      <c r="M170" s="9">
        <v>62</v>
      </c>
    </row>
    <row r="171" spans="1:13" x14ac:dyDescent="0.25">
      <c r="A171" s="15" t="str">
        <f t="shared" ref="A171" si="44">LEFT(B171,5)</f>
        <v>07131</v>
      </c>
      <c r="B171" s="7" t="s">
        <v>169</v>
      </c>
      <c r="C171" s="8">
        <v>35</v>
      </c>
      <c r="D171" s="8">
        <v>13</v>
      </c>
      <c r="E171" s="8">
        <v>14</v>
      </c>
      <c r="F171" s="8">
        <v>15</v>
      </c>
      <c r="G171" s="8">
        <v>31</v>
      </c>
      <c r="H171" s="8">
        <v>25</v>
      </c>
      <c r="I171" s="8">
        <v>46</v>
      </c>
      <c r="J171" s="8">
        <v>36</v>
      </c>
      <c r="K171" s="8">
        <v>45</v>
      </c>
      <c r="L171" s="8">
        <v>66</v>
      </c>
      <c r="M171" s="9">
        <v>62</v>
      </c>
    </row>
    <row r="172" spans="1:13" s="14" customFormat="1" x14ac:dyDescent="0.25">
      <c r="A172" s="15" t="str">
        <f t="shared" si="30"/>
        <v xml:space="preserve">072 </v>
      </c>
      <c r="B172" s="11" t="s">
        <v>170</v>
      </c>
      <c r="C172" s="12">
        <v>1671</v>
      </c>
      <c r="D172" s="12">
        <v>899</v>
      </c>
      <c r="E172" s="12">
        <v>1155</v>
      </c>
      <c r="F172" s="12">
        <v>1270</v>
      </c>
      <c r="G172" s="12">
        <v>1491</v>
      </c>
      <c r="H172" s="12">
        <v>1717</v>
      </c>
      <c r="I172" s="12">
        <v>1785</v>
      </c>
      <c r="J172" s="12">
        <v>1895</v>
      </c>
      <c r="K172" s="12">
        <v>2012</v>
      </c>
      <c r="L172" s="12">
        <v>2209</v>
      </c>
      <c r="M172" s="13">
        <v>2274</v>
      </c>
    </row>
    <row r="173" spans="1:13" s="14" customFormat="1" x14ac:dyDescent="0.25">
      <c r="A173" s="15" t="str">
        <f t="shared" si="30"/>
        <v>0721</v>
      </c>
      <c r="B173" s="11" t="s">
        <v>171</v>
      </c>
      <c r="C173" s="12">
        <v>136</v>
      </c>
      <c r="D173" s="12">
        <v>56</v>
      </c>
      <c r="E173" s="12">
        <v>97</v>
      </c>
      <c r="F173" s="12">
        <v>95</v>
      </c>
      <c r="G173" s="12">
        <v>128</v>
      </c>
      <c r="H173" s="12">
        <v>136</v>
      </c>
      <c r="I173" s="12">
        <v>161</v>
      </c>
      <c r="J173" s="12">
        <v>114</v>
      </c>
      <c r="K173" s="12">
        <v>190</v>
      </c>
      <c r="L173" s="12">
        <v>197</v>
      </c>
      <c r="M173" s="13">
        <v>185</v>
      </c>
    </row>
    <row r="174" spans="1:13" s="14" customFormat="1" x14ac:dyDescent="0.25">
      <c r="A174" s="15" t="str">
        <f t="shared" si="30"/>
        <v>0722</v>
      </c>
      <c r="B174" s="11" t="s">
        <v>172</v>
      </c>
      <c r="C174" s="12">
        <v>1108</v>
      </c>
      <c r="D174" s="12">
        <v>622</v>
      </c>
      <c r="E174" s="12">
        <v>754</v>
      </c>
      <c r="F174" s="12">
        <v>868</v>
      </c>
      <c r="G174" s="12">
        <v>1006</v>
      </c>
      <c r="H174" s="12">
        <v>1174</v>
      </c>
      <c r="I174" s="12">
        <v>1196</v>
      </c>
      <c r="J174" s="12">
        <v>1333</v>
      </c>
      <c r="K174" s="12">
        <v>1288</v>
      </c>
      <c r="L174" s="12">
        <v>1462</v>
      </c>
      <c r="M174" s="13">
        <v>1375</v>
      </c>
    </row>
    <row r="175" spans="1:13" s="14" customFormat="1" x14ac:dyDescent="0.25">
      <c r="A175" s="15" t="str">
        <f t="shared" si="30"/>
        <v>0723</v>
      </c>
      <c r="B175" s="11" t="s">
        <v>173</v>
      </c>
      <c r="C175" s="12">
        <v>293</v>
      </c>
      <c r="D175" s="12">
        <v>151</v>
      </c>
      <c r="E175" s="12">
        <v>214</v>
      </c>
      <c r="F175" s="12">
        <v>235</v>
      </c>
      <c r="G175" s="12">
        <v>266</v>
      </c>
      <c r="H175" s="12">
        <v>279</v>
      </c>
      <c r="I175" s="12">
        <v>329</v>
      </c>
      <c r="J175" s="12">
        <v>307</v>
      </c>
      <c r="K175" s="12">
        <v>360</v>
      </c>
      <c r="L175" s="12">
        <v>381</v>
      </c>
      <c r="M175" s="13">
        <v>412</v>
      </c>
    </row>
    <row r="176" spans="1:13" s="14" customFormat="1" x14ac:dyDescent="0.25">
      <c r="A176" s="15" t="str">
        <f t="shared" si="30"/>
        <v>0724</v>
      </c>
      <c r="B176" s="11" t="s">
        <v>174</v>
      </c>
      <c r="C176" s="12">
        <v>134</v>
      </c>
      <c r="D176" s="12">
        <v>70</v>
      </c>
      <c r="E176" s="12">
        <v>90</v>
      </c>
      <c r="F176" s="12">
        <v>71</v>
      </c>
      <c r="G176" s="12">
        <v>92</v>
      </c>
      <c r="H176" s="12">
        <v>127</v>
      </c>
      <c r="I176" s="12">
        <v>99</v>
      </c>
      <c r="J176" s="12">
        <v>140</v>
      </c>
      <c r="K176" s="12">
        <v>175</v>
      </c>
      <c r="L176" s="12">
        <v>170</v>
      </c>
      <c r="M176" s="13">
        <v>302</v>
      </c>
    </row>
    <row r="177" spans="1:13" x14ac:dyDescent="0.25">
      <c r="A177" s="15" t="str">
        <f t="shared" si="30"/>
        <v xml:space="preserve">073 </v>
      </c>
      <c r="B177" s="6" t="s">
        <v>175</v>
      </c>
      <c r="C177" s="8">
        <v>529</v>
      </c>
      <c r="D177" s="8">
        <v>464</v>
      </c>
      <c r="E177" s="8">
        <v>356</v>
      </c>
      <c r="F177" s="8">
        <v>257</v>
      </c>
      <c r="G177" s="8">
        <v>327</v>
      </c>
      <c r="H177" s="8">
        <v>347</v>
      </c>
      <c r="I177" s="8">
        <v>426</v>
      </c>
      <c r="J177" s="8">
        <v>559</v>
      </c>
      <c r="K177" s="8">
        <v>512</v>
      </c>
      <c r="L177" s="8">
        <v>760</v>
      </c>
      <c r="M177" s="9">
        <v>1278</v>
      </c>
    </row>
    <row r="178" spans="1:13" x14ac:dyDescent="0.25">
      <c r="A178" s="15" t="str">
        <f t="shared" si="30"/>
        <v>0736</v>
      </c>
      <c r="B178" s="6" t="s">
        <v>176</v>
      </c>
      <c r="C178" s="8">
        <v>15</v>
      </c>
      <c r="D178" s="8">
        <v>7</v>
      </c>
      <c r="E178" s="8">
        <v>5</v>
      </c>
      <c r="F178" s="8">
        <v>6</v>
      </c>
      <c r="G178" s="8">
        <v>12</v>
      </c>
      <c r="H178" s="8">
        <v>13</v>
      </c>
      <c r="I178" s="8">
        <v>17</v>
      </c>
      <c r="J178" s="8">
        <v>13</v>
      </c>
      <c r="K178" s="8">
        <v>13</v>
      </c>
      <c r="L178" s="8">
        <v>20</v>
      </c>
      <c r="M178" s="9">
        <v>46</v>
      </c>
    </row>
    <row r="179" spans="1:13" x14ac:dyDescent="0.25">
      <c r="A179" s="15" t="str">
        <f t="shared" ref="A179" si="45">LEFT(B179,5)</f>
        <v>07361</v>
      </c>
      <c r="B179" s="7" t="s">
        <v>177</v>
      </c>
      <c r="C179" s="8">
        <v>15</v>
      </c>
      <c r="D179" s="8">
        <v>7</v>
      </c>
      <c r="E179" s="8">
        <v>5</v>
      </c>
      <c r="F179" s="8">
        <v>6</v>
      </c>
      <c r="G179" s="8">
        <v>12</v>
      </c>
      <c r="H179" s="8">
        <v>13</v>
      </c>
      <c r="I179" s="8">
        <v>17</v>
      </c>
      <c r="J179" s="8">
        <v>13</v>
      </c>
      <c r="K179" s="8">
        <v>13</v>
      </c>
      <c r="L179" s="8">
        <v>20</v>
      </c>
      <c r="M179" s="9">
        <v>46</v>
      </c>
    </row>
    <row r="180" spans="1:13" x14ac:dyDescent="0.25">
      <c r="A180" s="23" t="s">
        <v>337</v>
      </c>
      <c r="B180" s="6" t="s">
        <v>178</v>
      </c>
      <c r="C180" s="8">
        <v>514</v>
      </c>
      <c r="D180" s="8">
        <v>457</v>
      </c>
      <c r="E180" s="8">
        <v>351</v>
      </c>
      <c r="F180" s="8">
        <v>251</v>
      </c>
      <c r="G180" s="8">
        <v>315</v>
      </c>
      <c r="H180" s="8">
        <v>334</v>
      </c>
      <c r="I180" s="8">
        <v>410</v>
      </c>
      <c r="J180" s="8">
        <v>546</v>
      </c>
      <c r="K180" s="8">
        <v>499</v>
      </c>
      <c r="L180" s="8">
        <v>740</v>
      </c>
      <c r="M180" s="9">
        <v>1232</v>
      </c>
    </row>
    <row r="181" spans="1:13" x14ac:dyDescent="0.25">
      <c r="A181" s="15" t="str">
        <f t="shared" ref="A181" si="46">LEFT(B181,5)</f>
        <v>073ZZ</v>
      </c>
      <c r="B181" s="7" t="s">
        <v>179</v>
      </c>
      <c r="C181" s="8">
        <v>514</v>
      </c>
      <c r="D181" s="8">
        <v>457</v>
      </c>
      <c r="E181" s="8">
        <v>351</v>
      </c>
      <c r="F181" s="8">
        <v>251</v>
      </c>
      <c r="G181" s="8">
        <v>315</v>
      </c>
      <c r="H181" s="8">
        <v>334</v>
      </c>
      <c r="I181" s="8">
        <v>410</v>
      </c>
      <c r="J181" s="8">
        <v>546</v>
      </c>
      <c r="K181" s="8">
        <v>499</v>
      </c>
      <c r="L181" s="8">
        <v>740</v>
      </c>
      <c r="M181" s="9">
        <v>1232</v>
      </c>
    </row>
    <row r="182" spans="1:13" x14ac:dyDescent="0.25">
      <c r="A182" s="15" t="str">
        <f t="shared" si="30"/>
        <v xml:space="preserve">074 </v>
      </c>
      <c r="B182" s="6" t="s">
        <v>180</v>
      </c>
      <c r="C182" s="8">
        <v>365</v>
      </c>
      <c r="D182" s="8">
        <v>166</v>
      </c>
      <c r="E182" s="8">
        <v>180</v>
      </c>
      <c r="F182" s="8">
        <v>178</v>
      </c>
      <c r="G182" s="8">
        <v>211</v>
      </c>
      <c r="H182" s="8">
        <v>220</v>
      </c>
      <c r="I182" s="8">
        <v>331</v>
      </c>
      <c r="J182" s="8">
        <v>344</v>
      </c>
      <c r="K182" s="8">
        <v>438</v>
      </c>
      <c r="L182" s="8">
        <v>565</v>
      </c>
      <c r="M182" s="9">
        <v>1010</v>
      </c>
    </row>
    <row r="183" spans="1:13" x14ac:dyDescent="0.25">
      <c r="A183" s="20" t="s">
        <v>340</v>
      </c>
      <c r="B183" s="6" t="s">
        <v>181</v>
      </c>
      <c r="C183" s="8">
        <v>365</v>
      </c>
      <c r="D183" s="8">
        <v>166</v>
      </c>
      <c r="E183" s="8">
        <v>180</v>
      </c>
      <c r="F183" s="8">
        <v>178</v>
      </c>
      <c r="G183" s="8">
        <v>211</v>
      </c>
      <c r="H183" s="8">
        <v>220</v>
      </c>
      <c r="I183" s="8">
        <v>331</v>
      </c>
      <c r="J183" s="8">
        <v>344</v>
      </c>
      <c r="K183" s="8">
        <v>438</v>
      </c>
      <c r="L183" s="8">
        <v>565</v>
      </c>
      <c r="M183" s="9">
        <v>1010</v>
      </c>
    </row>
    <row r="184" spans="1:13" x14ac:dyDescent="0.25">
      <c r="A184" s="15" t="str">
        <f t="shared" ref="A184" si="47">LEFT(B184,5)</f>
        <v>0741Z</v>
      </c>
      <c r="B184" s="7" t="s">
        <v>182</v>
      </c>
      <c r="C184" s="8">
        <v>365</v>
      </c>
      <c r="D184" s="8">
        <v>166</v>
      </c>
      <c r="E184" s="8">
        <v>180</v>
      </c>
      <c r="F184" s="8">
        <v>178</v>
      </c>
      <c r="G184" s="8">
        <v>211</v>
      </c>
      <c r="H184" s="8">
        <v>220</v>
      </c>
      <c r="I184" s="8">
        <v>331</v>
      </c>
      <c r="J184" s="8">
        <v>344</v>
      </c>
      <c r="K184" s="8">
        <v>438</v>
      </c>
      <c r="L184" s="8">
        <v>565</v>
      </c>
      <c r="M184" s="9">
        <v>1010</v>
      </c>
    </row>
    <row r="185" spans="1:13" x14ac:dyDescent="0.25">
      <c r="A185" s="16" t="s">
        <v>309</v>
      </c>
      <c r="B185" s="6" t="s">
        <v>183</v>
      </c>
      <c r="C185" s="8">
        <v>743</v>
      </c>
      <c r="D185" s="8">
        <v>647</v>
      </c>
      <c r="E185" s="8">
        <v>657</v>
      </c>
      <c r="F185" s="8">
        <v>654</v>
      </c>
      <c r="G185" s="8">
        <v>702</v>
      </c>
      <c r="H185" s="8">
        <v>704</v>
      </c>
      <c r="I185" s="8">
        <v>746</v>
      </c>
      <c r="J185" s="8">
        <v>776</v>
      </c>
      <c r="K185" s="8">
        <v>800</v>
      </c>
      <c r="L185" s="8">
        <v>851</v>
      </c>
      <c r="M185" s="9">
        <v>894</v>
      </c>
    </row>
    <row r="186" spans="1:13" x14ac:dyDescent="0.25">
      <c r="A186" s="20" t="s">
        <v>349</v>
      </c>
      <c r="B186" s="6" t="s">
        <v>184</v>
      </c>
      <c r="C186" s="8">
        <v>743</v>
      </c>
      <c r="D186" s="8">
        <v>647</v>
      </c>
      <c r="E186" s="8">
        <v>657</v>
      </c>
      <c r="F186" s="8">
        <v>654</v>
      </c>
      <c r="G186" s="8">
        <v>702</v>
      </c>
      <c r="H186" s="8">
        <v>704</v>
      </c>
      <c r="I186" s="8">
        <v>746</v>
      </c>
      <c r="J186" s="8">
        <v>776</v>
      </c>
      <c r="K186" s="8">
        <v>800</v>
      </c>
      <c r="L186" s="8">
        <v>851</v>
      </c>
      <c r="M186" s="9">
        <v>894</v>
      </c>
    </row>
    <row r="187" spans="1:13" x14ac:dyDescent="0.25">
      <c r="A187" s="23" t="s">
        <v>329</v>
      </c>
      <c r="B187" s="6" t="s">
        <v>185</v>
      </c>
      <c r="C187" s="8">
        <v>22</v>
      </c>
      <c r="D187" s="8">
        <v>12</v>
      </c>
      <c r="E187" s="8">
        <v>15</v>
      </c>
      <c r="F187" s="8">
        <v>18</v>
      </c>
      <c r="G187" s="8">
        <v>17</v>
      </c>
      <c r="H187" s="8">
        <v>17</v>
      </c>
      <c r="I187" s="8">
        <v>25</v>
      </c>
      <c r="J187" s="8">
        <v>31</v>
      </c>
      <c r="K187" s="8">
        <v>21</v>
      </c>
      <c r="L187" s="8">
        <v>35</v>
      </c>
      <c r="M187" s="9">
        <v>34</v>
      </c>
    </row>
    <row r="188" spans="1:13" x14ac:dyDescent="0.25">
      <c r="A188" s="15" t="str">
        <f t="shared" ref="A188" si="48">LEFT(B188,5)</f>
        <v>08111</v>
      </c>
      <c r="B188" s="7" t="s">
        <v>186</v>
      </c>
      <c r="C188" s="8">
        <v>22</v>
      </c>
      <c r="D188" s="8">
        <v>12</v>
      </c>
      <c r="E188" s="8">
        <v>15</v>
      </c>
      <c r="F188" s="8">
        <v>18</v>
      </c>
      <c r="G188" s="8">
        <v>17</v>
      </c>
      <c r="H188" s="8">
        <v>17</v>
      </c>
      <c r="I188" s="8">
        <v>25</v>
      </c>
      <c r="J188" s="8">
        <v>31</v>
      </c>
      <c r="K188" s="8">
        <v>21</v>
      </c>
      <c r="L188" s="8">
        <v>35</v>
      </c>
      <c r="M188" s="9">
        <v>34</v>
      </c>
    </row>
    <row r="189" spans="1:13" x14ac:dyDescent="0.25">
      <c r="A189" s="20" t="s">
        <v>323</v>
      </c>
      <c r="B189" s="6" t="s">
        <v>187</v>
      </c>
      <c r="C189" s="8">
        <v>86</v>
      </c>
      <c r="D189" s="8">
        <v>68</v>
      </c>
      <c r="E189" s="8">
        <v>70</v>
      </c>
      <c r="F189" s="8">
        <v>63</v>
      </c>
      <c r="G189" s="8">
        <v>72</v>
      </c>
      <c r="H189" s="8">
        <v>76</v>
      </c>
      <c r="I189" s="8">
        <v>69</v>
      </c>
      <c r="J189" s="8">
        <v>103</v>
      </c>
      <c r="K189" s="8">
        <v>113</v>
      </c>
      <c r="L189" s="8">
        <v>106</v>
      </c>
      <c r="M189" s="9">
        <v>119</v>
      </c>
    </row>
    <row r="190" spans="1:13" x14ac:dyDescent="0.25">
      <c r="A190" s="15" t="str">
        <f t="shared" ref="A190" si="49">LEFT(B190,5)</f>
        <v>08121</v>
      </c>
      <c r="B190" s="7" t="s">
        <v>188</v>
      </c>
      <c r="C190" s="8">
        <v>86</v>
      </c>
      <c r="D190" s="8">
        <v>68</v>
      </c>
      <c r="E190" s="8">
        <v>70</v>
      </c>
      <c r="F190" s="8">
        <v>63</v>
      </c>
      <c r="G190" s="8">
        <v>72</v>
      </c>
      <c r="H190" s="8">
        <v>76</v>
      </c>
      <c r="I190" s="8">
        <v>69</v>
      </c>
      <c r="J190" s="8">
        <v>103</v>
      </c>
      <c r="K190" s="8">
        <v>113</v>
      </c>
      <c r="L190" s="8">
        <v>106</v>
      </c>
      <c r="M190" s="9">
        <v>119</v>
      </c>
    </row>
    <row r="191" spans="1:13" x14ac:dyDescent="0.25">
      <c r="A191" s="20" t="s">
        <v>324</v>
      </c>
      <c r="B191" s="6" t="s">
        <v>189</v>
      </c>
      <c r="C191" s="8">
        <v>635</v>
      </c>
      <c r="D191" s="8">
        <v>567</v>
      </c>
      <c r="E191" s="8">
        <v>573</v>
      </c>
      <c r="F191" s="8">
        <v>573</v>
      </c>
      <c r="G191" s="8">
        <v>614</v>
      </c>
      <c r="H191" s="8">
        <v>611</v>
      </c>
      <c r="I191" s="8">
        <v>652</v>
      </c>
      <c r="J191" s="8">
        <v>643</v>
      </c>
      <c r="K191" s="8">
        <v>666</v>
      </c>
      <c r="L191" s="8">
        <v>710</v>
      </c>
      <c r="M191" s="9">
        <v>741</v>
      </c>
    </row>
    <row r="192" spans="1:13" x14ac:dyDescent="0.25">
      <c r="A192" s="15" t="str">
        <f t="shared" ref="A192" si="50">LEFT(B192,5)</f>
        <v>08131</v>
      </c>
      <c r="B192" s="7" t="s">
        <v>190</v>
      </c>
      <c r="C192" s="8">
        <v>635</v>
      </c>
      <c r="D192" s="8">
        <v>567</v>
      </c>
      <c r="E192" s="8">
        <v>573</v>
      </c>
      <c r="F192" s="8">
        <v>573</v>
      </c>
      <c r="G192" s="8">
        <v>614</v>
      </c>
      <c r="H192" s="8">
        <v>611</v>
      </c>
      <c r="I192" s="8">
        <v>652</v>
      </c>
      <c r="J192" s="8">
        <v>643</v>
      </c>
      <c r="K192" s="8">
        <v>666</v>
      </c>
      <c r="L192" s="8">
        <v>710</v>
      </c>
      <c r="M192" s="9">
        <v>741</v>
      </c>
    </row>
    <row r="193" spans="1:13" x14ac:dyDescent="0.25">
      <c r="A193" s="16" t="s">
        <v>317</v>
      </c>
      <c r="B193" s="6" t="s">
        <v>191</v>
      </c>
      <c r="C193" s="8">
        <v>2566</v>
      </c>
      <c r="D193" s="8">
        <v>1255</v>
      </c>
      <c r="E193" s="8">
        <v>1233</v>
      </c>
      <c r="F193" s="8">
        <v>1478</v>
      </c>
      <c r="G193" s="8">
        <v>1780</v>
      </c>
      <c r="H193" s="8">
        <v>1966</v>
      </c>
      <c r="I193" s="8">
        <v>2430</v>
      </c>
      <c r="J193" s="8">
        <v>2787</v>
      </c>
      <c r="K193" s="8">
        <v>3234</v>
      </c>
      <c r="L193" s="8">
        <v>4151</v>
      </c>
      <c r="M193" s="9">
        <v>5326</v>
      </c>
    </row>
    <row r="194" spans="1:13" x14ac:dyDescent="0.25">
      <c r="A194" s="15" t="str">
        <f t="shared" si="30"/>
        <v xml:space="preserve">091 </v>
      </c>
      <c r="B194" s="6" t="s">
        <v>192</v>
      </c>
      <c r="C194" s="8">
        <v>257</v>
      </c>
      <c r="D194" s="8">
        <v>167</v>
      </c>
      <c r="E194" s="8">
        <v>154</v>
      </c>
      <c r="F194" s="8">
        <v>162</v>
      </c>
      <c r="G194" s="8">
        <v>177</v>
      </c>
      <c r="H194" s="8">
        <v>211</v>
      </c>
      <c r="I194" s="8">
        <v>228</v>
      </c>
      <c r="J194" s="8">
        <v>318</v>
      </c>
      <c r="K194" s="8">
        <v>298</v>
      </c>
      <c r="L194" s="8">
        <v>368</v>
      </c>
      <c r="M194" s="9">
        <v>482</v>
      </c>
    </row>
    <row r="195" spans="1:13" x14ac:dyDescent="0.25">
      <c r="A195" s="15" t="str">
        <f t="shared" si="30"/>
        <v>0911</v>
      </c>
      <c r="B195" s="6" t="s">
        <v>193</v>
      </c>
      <c r="C195" s="8">
        <v>93</v>
      </c>
      <c r="D195" s="8">
        <v>51</v>
      </c>
      <c r="E195" s="8">
        <v>65</v>
      </c>
      <c r="F195" s="8">
        <v>58</v>
      </c>
      <c r="G195" s="8">
        <v>54</v>
      </c>
      <c r="H195" s="8">
        <v>86</v>
      </c>
      <c r="I195" s="8">
        <v>68</v>
      </c>
      <c r="J195" s="8">
        <v>153</v>
      </c>
      <c r="K195" s="8">
        <v>116</v>
      </c>
      <c r="L195" s="8">
        <v>108</v>
      </c>
      <c r="M195" s="9">
        <v>168</v>
      </c>
    </row>
    <row r="196" spans="1:13" x14ac:dyDescent="0.25">
      <c r="A196" s="15" t="str">
        <f t="shared" ref="A196" si="51">LEFT(B196,5)</f>
        <v>0911Z</v>
      </c>
      <c r="B196" s="7" t="s">
        <v>194</v>
      </c>
      <c r="C196" s="8">
        <v>93</v>
      </c>
      <c r="D196" s="8">
        <v>51</v>
      </c>
      <c r="E196" s="8">
        <v>65</v>
      </c>
      <c r="F196" s="8">
        <v>58</v>
      </c>
      <c r="G196" s="8">
        <v>54</v>
      </c>
      <c r="H196" s="8">
        <v>86</v>
      </c>
      <c r="I196" s="8">
        <v>68</v>
      </c>
      <c r="J196" s="8">
        <v>153</v>
      </c>
      <c r="K196" s="8">
        <v>116</v>
      </c>
      <c r="L196" s="8">
        <v>108</v>
      </c>
      <c r="M196" s="9">
        <v>168</v>
      </c>
    </row>
    <row r="197" spans="1:13" x14ac:dyDescent="0.25">
      <c r="A197" s="15" t="str">
        <f t="shared" si="30"/>
        <v>0913</v>
      </c>
      <c r="B197" s="6" t="s">
        <v>195</v>
      </c>
      <c r="C197" s="8">
        <v>90</v>
      </c>
      <c r="D197" s="8">
        <v>67</v>
      </c>
      <c r="E197" s="8">
        <v>56</v>
      </c>
      <c r="F197" s="8">
        <v>66</v>
      </c>
      <c r="G197" s="8">
        <v>63</v>
      </c>
      <c r="H197" s="8">
        <v>68</v>
      </c>
      <c r="I197" s="8">
        <v>75</v>
      </c>
      <c r="J197" s="8">
        <v>88</v>
      </c>
      <c r="K197" s="8">
        <v>104</v>
      </c>
      <c r="L197" s="8">
        <v>138</v>
      </c>
      <c r="M197" s="9">
        <v>178</v>
      </c>
    </row>
    <row r="198" spans="1:13" x14ac:dyDescent="0.25">
      <c r="A198" s="15" t="str">
        <f t="shared" ref="A198" si="52">LEFT(B198,5)</f>
        <v>09131</v>
      </c>
      <c r="B198" s="7" t="s">
        <v>196</v>
      </c>
      <c r="C198" s="8">
        <v>90</v>
      </c>
      <c r="D198" s="8">
        <v>67</v>
      </c>
      <c r="E198" s="8">
        <v>56</v>
      </c>
      <c r="F198" s="8">
        <v>66</v>
      </c>
      <c r="G198" s="8">
        <v>63</v>
      </c>
      <c r="H198" s="8">
        <v>68</v>
      </c>
      <c r="I198" s="8">
        <v>75</v>
      </c>
      <c r="J198" s="8">
        <v>88</v>
      </c>
      <c r="K198" s="8">
        <v>104</v>
      </c>
      <c r="L198" s="8">
        <v>138</v>
      </c>
      <c r="M198" s="9">
        <v>178</v>
      </c>
    </row>
    <row r="199" spans="1:13" x14ac:dyDescent="0.25">
      <c r="A199" s="15" t="str">
        <f t="shared" ref="A199:A261" si="53">LEFT(B199,4)</f>
        <v>0914</v>
      </c>
      <c r="B199" s="6" t="s">
        <v>197</v>
      </c>
      <c r="C199" s="8">
        <v>48</v>
      </c>
      <c r="D199" s="8">
        <v>25</v>
      </c>
      <c r="E199" s="8">
        <v>26</v>
      </c>
      <c r="F199" s="8">
        <v>30</v>
      </c>
      <c r="G199" s="8">
        <v>47</v>
      </c>
      <c r="H199" s="8">
        <v>44</v>
      </c>
      <c r="I199" s="8">
        <v>50</v>
      </c>
      <c r="J199" s="8">
        <v>51</v>
      </c>
      <c r="K199" s="8">
        <v>56</v>
      </c>
      <c r="L199" s="8">
        <v>68</v>
      </c>
      <c r="M199" s="9">
        <v>85</v>
      </c>
    </row>
    <row r="200" spans="1:13" x14ac:dyDescent="0.25">
      <c r="A200" s="15" t="str">
        <f t="shared" ref="A200" si="54">LEFT(B200,5)</f>
        <v>09141</v>
      </c>
      <c r="B200" s="7" t="s">
        <v>198</v>
      </c>
      <c r="C200" s="8">
        <v>48</v>
      </c>
      <c r="D200" s="8">
        <v>25</v>
      </c>
      <c r="E200" s="8">
        <v>26</v>
      </c>
      <c r="F200" s="8">
        <v>30</v>
      </c>
      <c r="G200" s="8">
        <v>47</v>
      </c>
      <c r="H200" s="8">
        <v>44</v>
      </c>
      <c r="I200" s="8">
        <v>50</v>
      </c>
      <c r="J200" s="8">
        <v>51</v>
      </c>
      <c r="K200" s="8">
        <v>56</v>
      </c>
      <c r="L200" s="8">
        <v>68</v>
      </c>
      <c r="M200" s="9">
        <v>85</v>
      </c>
    </row>
    <row r="201" spans="1:13" x14ac:dyDescent="0.25">
      <c r="A201" s="23" t="s">
        <v>330</v>
      </c>
      <c r="B201" s="6" t="s">
        <v>199</v>
      </c>
      <c r="C201" s="8">
        <v>26</v>
      </c>
      <c r="D201" s="8">
        <v>25</v>
      </c>
      <c r="E201" s="8">
        <v>6</v>
      </c>
      <c r="F201" s="8">
        <v>10</v>
      </c>
      <c r="G201" s="8">
        <v>14</v>
      </c>
      <c r="H201" s="8">
        <v>12</v>
      </c>
      <c r="I201" s="8">
        <v>36</v>
      </c>
      <c r="J201" s="8">
        <v>27</v>
      </c>
      <c r="K201" s="8">
        <v>22</v>
      </c>
      <c r="L201" s="8">
        <v>55</v>
      </c>
      <c r="M201" s="9">
        <v>51</v>
      </c>
    </row>
    <row r="202" spans="1:13" x14ac:dyDescent="0.25">
      <c r="A202" s="15" t="str">
        <f t="shared" ref="A202" si="55">LEFT(B202,5)</f>
        <v>091AZ</v>
      </c>
      <c r="B202" s="7" t="s">
        <v>200</v>
      </c>
      <c r="C202" s="8">
        <v>26</v>
      </c>
      <c r="D202" s="8">
        <v>25</v>
      </c>
      <c r="E202" s="8">
        <v>6</v>
      </c>
      <c r="F202" s="8">
        <v>10</v>
      </c>
      <c r="G202" s="8">
        <v>14</v>
      </c>
      <c r="H202" s="8">
        <v>12</v>
      </c>
      <c r="I202" s="8">
        <v>36</v>
      </c>
      <c r="J202" s="8">
        <v>27</v>
      </c>
      <c r="K202" s="8">
        <v>22</v>
      </c>
      <c r="L202" s="8">
        <v>55</v>
      </c>
      <c r="M202" s="9">
        <v>51</v>
      </c>
    </row>
    <row r="203" spans="1:13" x14ac:dyDescent="0.25">
      <c r="A203" s="15" t="str">
        <f t="shared" si="53"/>
        <v xml:space="preserve">092 </v>
      </c>
      <c r="B203" s="6" t="s">
        <v>201</v>
      </c>
      <c r="C203" s="8">
        <v>94</v>
      </c>
      <c r="D203" s="8">
        <v>5</v>
      </c>
      <c r="E203" s="8">
        <v>15</v>
      </c>
      <c r="F203" s="8">
        <v>58</v>
      </c>
      <c r="G203" s="8">
        <v>11</v>
      </c>
      <c r="H203" s="8">
        <v>10</v>
      </c>
      <c r="I203" s="8">
        <v>83</v>
      </c>
      <c r="J203" s="8">
        <v>50</v>
      </c>
      <c r="K203" s="8">
        <v>324</v>
      </c>
      <c r="L203" s="8">
        <v>266</v>
      </c>
      <c r="M203" s="9">
        <v>119</v>
      </c>
    </row>
    <row r="204" spans="1:13" x14ac:dyDescent="0.25">
      <c r="A204" s="16" t="s">
        <v>336</v>
      </c>
      <c r="B204" s="6" t="s">
        <v>202</v>
      </c>
      <c r="C204" s="8">
        <v>94</v>
      </c>
      <c r="D204" s="8">
        <v>5</v>
      </c>
      <c r="E204" s="8">
        <v>15</v>
      </c>
      <c r="F204" s="8">
        <v>58</v>
      </c>
      <c r="G204" s="8">
        <v>11</v>
      </c>
      <c r="H204" s="8">
        <v>10</v>
      </c>
      <c r="I204" s="8">
        <v>83</v>
      </c>
      <c r="J204" s="8">
        <v>50</v>
      </c>
      <c r="K204" s="8">
        <v>324</v>
      </c>
      <c r="L204" s="8">
        <v>266</v>
      </c>
      <c r="M204" s="9">
        <v>119</v>
      </c>
    </row>
    <row r="205" spans="1:13" x14ac:dyDescent="0.25">
      <c r="A205" s="15" t="str">
        <f t="shared" ref="A205" si="56">LEFT(B205,5)</f>
        <v>092ZZ</v>
      </c>
      <c r="B205" s="7" t="s">
        <v>203</v>
      </c>
      <c r="C205" s="8">
        <v>94</v>
      </c>
      <c r="D205" s="8">
        <v>5</v>
      </c>
      <c r="E205" s="8">
        <v>15</v>
      </c>
      <c r="F205" s="8">
        <v>58</v>
      </c>
      <c r="G205" s="8">
        <v>11</v>
      </c>
      <c r="H205" s="8">
        <v>10</v>
      </c>
      <c r="I205" s="8">
        <v>83</v>
      </c>
      <c r="J205" s="8">
        <v>50</v>
      </c>
      <c r="K205" s="8">
        <v>324</v>
      </c>
      <c r="L205" s="8">
        <v>266</v>
      </c>
      <c r="M205" s="9">
        <v>119</v>
      </c>
    </row>
    <row r="206" spans="1:13" x14ac:dyDescent="0.25">
      <c r="A206" s="15" t="str">
        <f t="shared" si="53"/>
        <v xml:space="preserve">093 </v>
      </c>
      <c r="B206" s="6" t="s">
        <v>204</v>
      </c>
      <c r="C206" s="8">
        <v>472</v>
      </c>
      <c r="D206" s="8">
        <v>319</v>
      </c>
      <c r="E206" s="8">
        <v>275</v>
      </c>
      <c r="F206" s="8">
        <v>329</v>
      </c>
      <c r="G206" s="8">
        <v>356</v>
      </c>
      <c r="H206" s="8">
        <v>405</v>
      </c>
      <c r="I206" s="8">
        <v>552</v>
      </c>
      <c r="J206" s="8">
        <v>565</v>
      </c>
      <c r="K206" s="8">
        <v>558</v>
      </c>
      <c r="L206" s="8">
        <v>700</v>
      </c>
      <c r="M206" s="9">
        <v>661</v>
      </c>
    </row>
    <row r="207" spans="1:13" x14ac:dyDescent="0.25">
      <c r="A207" s="15" t="str">
        <f t="shared" si="53"/>
        <v>0931</v>
      </c>
      <c r="B207" s="6" t="s">
        <v>205</v>
      </c>
      <c r="C207" s="8">
        <v>167</v>
      </c>
      <c r="D207" s="8">
        <v>126</v>
      </c>
      <c r="E207" s="8">
        <v>101</v>
      </c>
      <c r="F207" s="8">
        <v>138</v>
      </c>
      <c r="G207" s="8">
        <v>117</v>
      </c>
      <c r="H207" s="8">
        <v>172</v>
      </c>
      <c r="I207" s="8">
        <v>214</v>
      </c>
      <c r="J207" s="8">
        <v>187</v>
      </c>
      <c r="K207" s="8">
        <v>208</v>
      </c>
      <c r="L207" s="8">
        <v>199</v>
      </c>
      <c r="M207" s="9">
        <v>211</v>
      </c>
    </row>
    <row r="208" spans="1:13" x14ac:dyDescent="0.25">
      <c r="A208" s="15" t="str">
        <f t="shared" ref="A208" si="57">LEFT(B208,5)</f>
        <v>0931Z</v>
      </c>
      <c r="B208" s="7" t="s">
        <v>206</v>
      </c>
      <c r="C208" s="8">
        <v>167</v>
      </c>
      <c r="D208" s="8">
        <v>126</v>
      </c>
      <c r="E208" s="8">
        <v>101</v>
      </c>
      <c r="F208" s="8">
        <v>138</v>
      </c>
      <c r="G208" s="8">
        <v>117</v>
      </c>
      <c r="H208" s="8">
        <v>172</v>
      </c>
      <c r="I208" s="8">
        <v>214</v>
      </c>
      <c r="J208" s="8">
        <v>187</v>
      </c>
      <c r="K208" s="8">
        <v>208</v>
      </c>
      <c r="L208" s="8">
        <v>199</v>
      </c>
      <c r="M208" s="9">
        <v>211</v>
      </c>
    </row>
    <row r="209" spans="1:13" x14ac:dyDescent="0.25">
      <c r="A209" s="15" t="str">
        <f t="shared" si="53"/>
        <v>0932</v>
      </c>
      <c r="B209" s="6" t="s">
        <v>207</v>
      </c>
      <c r="C209" s="8">
        <v>143</v>
      </c>
      <c r="D209" s="8">
        <v>71</v>
      </c>
      <c r="E209" s="8">
        <v>61</v>
      </c>
      <c r="F209" s="8">
        <v>75</v>
      </c>
      <c r="G209" s="8">
        <v>96</v>
      </c>
      <c r="H209" s="8">
        <v>108</v>
      </c>
      <c r="I209" s="8">
        <v>167</v>
      </c>
      <c r="J209" s="8">
        <v>151</v>
      </c>
      <c r="K209" s="8">
        <v>177</v>
      </c>
      <c r="L209" s="8">
        <v>265</v>
      </c>
      <c r="M209" s="9">
        <v>261</v>
      </c>
    </row>
    <row r="210" spans="1:13" x14ac:dyDescent="0.25">
      <c r="A210" s="15" t="str">
        <f t="shared" ref="A210:A212" si="58">LEFT(B210,5)</f>
        <v>09321</v>
      </c>
      <c r="B210" s="7" t="s">
        <v>208</v>
      </c>
      <c r="C210" s="8">
        <v>143</v>
      </c>
      <c r="D210" s="8">
        <v>71</v>
      </c>
      <c r="E210" s="8">
        <v>61</v>
      </c>
      <c r="F210" s="8">
        <v>75</v>
      </c>
      <c r="G210" s="8">
        <v>96</v>
      </c>
      <c r="H210" s="8">
        <v>108</v>
      </c>
      <c r="I210" s="8">
        <v>167</v>
      </c>
      <c r="J210" s="8">
        <v>151</v>
      </c>
      <c r="K210" s="8">
        <v>177</v>
      </c>
      <c r="L210" s="8">
        <v>265</v>
      </c>
      <c r="M210" s="9">
        <v>261</v>
      </c>
    </row>
    <row r="211" spans="1:13" x14ac:dyDescent="0.25">
      <c r="A211" s="23" t="s">
        <v>341</v>
      </c>
      <c r="B211" s="6" t="s">
        <v>209</v>
      </c>
      <c r="C211" s="8">
        <v>161</v>
      </c>
      <c r="D211" s="8">
        <v>123</v>
      </c>
      <c r="E211" s="8">
        <v>113</v>
      </c>
      <c r="F211" s="8">
        <v>116</v>
      </c>
      <c r="G211" s="8">
        <v>143</v>
      </c>
      <c r="H211" s="8">
        <v>125</v>
      </c>
      <c r="I211" s="8">
        <v>170</v>
      </c>
      <c r="J211" s="8">
        <v>227</v>
      </c>
      <c r="K211" s="8">
        <v>173</v>
      </c>
      <c r="L211" s="8">
        <v>236</v>
      </c>
      <c r="M211" s="9">
        <v>188</v>
      </c>
    </row>
    <row r="212" spans="1:13" x14ac:dyDescent="0.25">
      <c r="A212" s="15" t="str">
        <f t="shared" si="58"/>
        <v>093AZ</v>
      </c>
      <c r="B212" s="7" t="s">
        <v>210</v>
      </c>
      <c r="C212" s="8">
        <v>161</v>
      </c>
      <c r="D212" s="8">
        <v>123</v>
      </c>
      <c r="E212" s="8">
        <v>113</v>
      </c>
      <c r="F212" s="8">
        <v>116</v>
      </c>
      <c r="G212" s="8">
        <v>143</v>
      </c>
      <c r="H212" s="8">
        <v>125</v>
      </c>
      <c r="I212" s="8">
        <v>170</v>
      </c>
      <c r="J212" s="8">
        <v>227</v>
      </c>
      <c r="K212" s="8">
        <v>173</v>
      </c>
      <c r="L212" s="8">
        <v>236</v>
      </c>
      <c r="M212" s="9">
        <v>188</v>
      </c>
    </row>
    <row r="213" spans="1:13" x14ac:dyDescent="0.25">
      <c r="A213" s="15" t="str">
        <f t="shared" si="53"/>
        <v xml:space="preserve">094 </v>
      </c>
      <c r="B213" s="6" t="s">
        <v>211</v>
      </c>
      <c r="C213" s="8">
        <v>829</v>
      </c>
      <c r="D213" s="8">
        <v>430</v>
      </c>
      <c r="E213" s="8">
        <v>436</v>
      </c>
      <c r="F213" s="8">
        <v>523</v>
      </c>
      <c r="G213" s="8">
        <v>619</v>
      </c>
      <c r="H213" s="8">
        <v>689</v>
      </c>
      <c r="I213" s="8">
        <v>776</v>
      </c>
      <c r="J213" s="8">
        <v>902</v>
      </c>
      <c r="K213" s="8">
        <v>905</v>
      </c>
      <c r="L213" s="8">
        <v>1365</v>
      </c>
      <c r="M213" s="9">
        <v>1638</v>
      </c>
    </row>
    <row r="214" spans="1:13" x14ac:dyDescent="0.25">
      <c r="A214" s="15" t="str">
        <f t="shared" si="53"/>
        <v>0941</v>
      </c>
      <c r="B214" s="6" t="s">
        <v>212</v>
      </c>
      <c r="C214" s="8">
        <v>325</v>
      </c>
      <c r="D214" s="8">
        <v>118</v>
      </c>
      <c r="E214" s="8">
        <v>131</v>
      </c>
      <c r="F214" s="8">
        <v>184</v>
      </c>
      <c r="G214" s="8">
        <v>164</v>
      </c>
      <c r="H214" s="8">
        <v>213</v>
      </c>
      <c r="I214" s="8">
        <v>276</v>
      </c>
      <c r="J214" s="8">
        <v>328</v>
      </c>
      <c r="K214" s="8">
        <v>317</v>
      </c>
      <c r="L214" s="8">
        <v>710</v>
      </c>
      <c r="M214" s="9">
        <v>800</v>
      </c>
    </row>
    <row r="215" spans="1:13" x14ac:dyDescent="0.25">
      <c r="A215" s="15" t="str">
        <f t="shared" ref="A215" si="59">LEFT(B215,5)</f>
        <v>09411</v>
      </c>
      <c r="B215" s="7" t="s">
        <v>213</v>
      </c>
      <c r="C215" s="8">
        <v>325</v>
      </c>
      <c r="D215" s="8">
        <v>118</v>
      </c>
      <c r="E215" s="8">
        <v>131</v>
      </c>
      <c r="F215" s="8">
        <v>184</v>
      </c>
      <c r="G215" s="8">
        <v>164</v>
      </c>
      <c r="H215" s="8">
        <v>213</v>
      </c>
      <c r="I215" s="8">
        <v>276</v>
      </c>
      <c r="J215" s="8">
        <v>328</v>
      </c>
      <c r="K215" s="8">
        <v>317</v>
      </c>
      <c r="L215" s="8">
        <v>710</v>
      </c>
      <c r="M215" s="9">
        <v>800</v>
      </c>
    </row>
    <row r="216" spans="1:13" x14ac:dyDescent="0.25">
      <c r="A216" s="15" t="str">
        <f t="shared" si="53"/>
        <v>0942</v>
      </c>
      <c r="B216" s="6" t="s">
        <v>214</v>
      </c>
      <c r="C216" s="8">
        <v>466</v>
      </c>
      <c r="D216" s="8">
        <v>290</v>
      </c>
      <c r="E216" s="8">
        <v>282</v>
      </c>
      <c r="F216" s="8">
        <v>312</v>
      </c>
      <c r="G216" s="8">
        <v>410</v>
      </c>
      <c r="H216" s="8">
        <v>435</v>
      </c>
      <c r="I216" s="8">
        <v>443</v>
      </c>
      <c r="J216" s="8">
        <v>528</v>
      </c>
      <c r="K216" s="8">
        <v>549</v>
      </c>
      <c r="L216" s="8">
        <v>611</v>
      </c>
      <c r="M216" s="9">
        <v>799</v>
      </c>
    </row>
    <row r="217" spans="1:13" x14ac:dyDescent="0.25">
      <c r="A217" s="15" t="str">
        <f t="shared" ref="A217" si="60">LEFT(B217,5)</f>
        <v>0942Z</v>
      </c>
      <c r="B217" s="7" t="s">
        <v>215</v>
      </c>
      <c r="C217" s="8">
        <v>466</v>
      </c>
      <c r="D217" s="8">
        <v>290</v>
      </c>
      <c r="E217" s="8">
        <v>282</v>
      </c>
      <c r="F217" s="8">
        <v>312</v>
      </c>
      <c r="G217" s="8">
        <v>410</v>
      </c>
      <c r="H217" s="8">
        <v>435</v>
      </c>
      <c r="I217" s="8">
        <v>443</v>
      </c>
      <c r="J217" s="8">
        <v>528</v>
      </c>
      <c r="K217" s="8">
        <v>549</v>
      </c>
      <c r="L217" s="8">
        <v>611</v>
      </c>
      <c r="M217" s="9">
        <v>799</v>
      </c>
    </row>
    <row r="218" spans="1:13" x14ac:dyDescent="0.25">
      <c r="A218" s="15" t="str">
        <f t="shared" si="53"/>
        <v>0943</v>
      </c>
      <c r="B218" s="6" t="s">
        <v>216</v>
      </c>
      <c r="C218" s="8">
        <v>38</v>
      </c>
      <c r="D218" s="8">
        <v>22</v>
      </c>
      <c r="E218" s="8">
        <v>23</v>
      </c>
      <c r="F218" s="8">
        <v>26</v>
      </c>
      <c r="G218" s="8">
        <v>45</v>
      </c>
      <c r="H218" s="8">
        <v>40</v>
      </c>
      <c r="I218" s="8">
        <v>57</v>
      </c>
      <c r="J218" s="8">
        <v>47</v>
      </c>
      <c r="K218" s="8">
        <v>39</v>
      </c>
      <c r="L218" s="8">
        <v>44</v>
      </c>
      <c r="M218" s="9">
        <v>38</v>
      </c>
    </row>
    <row r="219" spans="1:13" x14ac:dyDescent="0.25">
      <c r="A219" s="15" t="str">
        <f t="shared" ref="A219" si="61">LEFT(B219,5)</f>
        <v>09431</v>
      </c>
      <c r="B219" s="7" t="s">
        <v>217</v>
      </c>
      <c r="C219" s="8">
        <v>38</v>
      </c>
      <c r="D219" s="8">
        <v>22</v>
      </c>
      <c r="E219" s="8">
        <v>23</v>
      </c>
      <c r="F219" s="8">
        <v>26</v>
      </c>
      <c r="G219" s="8">
        <v>45</v>
      </c>
      <c r="H219" s="8">
        <v>40</v>
      </c>
      <c r="I219" s="8">
        <v>57</v>
      </c>
      <c r="J219" s="8">
        <v>47</v>
      </c>
      <c r="K219" s="8">
        <v>39</v>
      </c>
      <c r="L219" s="8">
        <v>44</v>
      </c>
      <c r="M219" s="9">
        <v>38</v>
      </c>
    </row>
    <row r="220" spans="1:13" x14ac:dyDescent="0.25">
      <c r="A220" s="15" t="str">
        <f t="shared" si="53"/>
        <v xml:space="preserve">095 </v>
      </c>
      <c r="B220" s="6" t="s">
        <v>218</v>
      </c>
      <c r="C220" s="8">
        <v>315</v>
      </c>
      <c r="D220" s="8">
        <v>155</v>
      </c>
      <c r="E220" s="8">
        <v>174</v>
      </c>
      <c r="F220" s="8">
        <v>197</v>
      </c>
      <c r="G220" s="8">
        <v>288</v>
      </c>
      <c r="H220" s="8">
        <v>264</v>
      </c>
      <c r="I220" s="8">
        <v>300</v>
      </c>
      <c r="J220" s="8">
        <v>343</v>
      </c>
      <c r="K220" s="8">
        <v>370</v>
      </c>
      <c r="L220" s="8">
        <v>409</v>
      </c>
      <c r="M220" s="9">
        <v>650</v>
      </c>
    </row>
    <row r="221" spans="1:13" x14ac:dyDescent="0.25">
      <c r="A221" s="15" t="str">
        <f t="shared" si="53"/>
        <v>0951</v>
      </c>
      <c r="B221" s="6" t="s">
        <v>219</v>
      </c>
      <c r="C221" s="8">
        <v>117</v>
      </c>
      <c r="D221" s="8">
        <v>82</v>
      </c>
      <c r="E221" s="8">
        <v>53</v>
      </c>
      <c r="F221" s="8">
        <v>68</v>
      </c>
      <c r="G221" s="8">
        <v>91</v>
      </c>
      <c r="H221" s="8">
        <v>83</v>
      </c>
      <c r="I221" s="8">
        <v>90</v>
      </c>
      <c r="J221" s="8">
        <v>118</v>
      </c>
      <c r="K221" s="8">
        <v>130</v>
      </c>
      <c r="L221" s="8">
        <v>162</v>
      </c>
      <c r="M221" s="9">
        <v>291</v>
      </c>
    </row>
    <row r="222" spans="1:13" x14ac:dyDescent="0.25">
      <c r="A222" s="15" t="str">
        <f t="shared" ref="A222" si="62">LEFT(B222,5)</f>
        <v>09511</v>
      </c>
      <c r="B222" s="7" t="s">
        <v>220</v>
      </c>
      <c r="C222" s="8">
        <v>117</v>
      </c>
      <c r="D222" s="8">
        <v>82</v>
      </c>
      <c r="E222" s="8">
        <v>53</v>
      </c>
      <c r="F222" s="8">
        <v>68</v>
      </c>
      <c r="G222" s="8">
        <v>91</v>
      </c>
      <c r="H222" s="8">
        <v>83</v>
      </c>
      <c r="I222" s="8">
        <v>90</v>
      </c>
      <c r="J222" s="8">
        <v>118</v>
      </c>
      <c r="K222" s="8">
        <v>130</v>
      </c>
      <c r="L222" s="8">
        <v>162</v>
      </c>
      <c r="M222" s="9">
        <v>291</v>
      </c>
    </row>
    <row r="223" spans="1:13" x14ac:dyDescent="0.25">
      <c r="A223" s="15" t="str">
        <f t="shared" si="53"/>
        <v>0952</v>
      </c>
      <c r="B223" s="6" t="s">
        <v>221</v>
      </c>
      <c r="C223" s="8">
        <v>114</v>
      </c>
      <c r="D223" s="8">
        <v>32</v>
      </c>
      <c r="E223" s="8">
        <v>76</v>
      </c>
      <c r="F223" s="8">
        <v>76</v>
      </c>
      <c r="G223" s="8">
        <v>116</v>
      </c>
      <c r="H223" s="8">
        <v>116</v>
      </c>
      <c r="I223" s="8">
        <v>122</v>
      </c>
      <c r="J223" s="8">
        <v>124</v>
      </c>
      <c r="K223" s="8">
        <v>133</v>
      </c>
      <c r="L223" s="8">
        <v>141</v>
      </c>
      <c r="M223" s="9">
        <v>206</v>
      </c>
    </row>
    <row r="224" spans="1:13" x14ac:dyDescent="0.25">
      <c r="A224" s="15" t="str">
        <f t="shared" ref="A224" si="63">LEFT(B224,5)</f>
        <v>09521</v>
      </c>
      <c r="B224" s="7" t="s">
        <v>222</v>
      </c>
      <c r="C224" s="8">
        <v>114</v>
      </c>
      <c r="D224" s="8">
        <v>32</v>
      </c>
      <c r="E224" s="8">
        <v>76</v>
      </c>
      <c r="F224" s="8">
        <v>76</v>
      </c>
      <c r="G224" s="8">
        <v>116</v>
      </c>
      <c r="H224" s="8">
        <v>116</v>
      </c>
      <c r="I224" s="8">
        <v>122</v>
      </c>
      <c r="J224" s="8">
        <v>124</v>
      </c>
      <c r="K224" s="8">
        <v>133</v>
      </c>
      <c r="L224" s="8">
        <v>141</v>
      </c>
      <c r="M224" s="9">
        <v>206</v>
      </c>
    </row>
    <row r="225" spans="1:13" x14ac:dyDescent="0.25">
      <c r="A225" s="15" t="str">
        <f t="shared" si="53"/>
        <v>0953</v>
      </c>
      <c r="B225" s="6" t="s">
        <v>223</v>
      </c>
      <c r="C225" s="8">
        <v>12</v>
      </c>
      <c r="D225" s="8">
        <v>3</v>
      </c>
      <c r="E225" s="8">
        <v>7</v>
      </c>
      <c r="F225" s="8">
        <v>6</v>
      </c>
      <c r="G225" s="8">
        <v>9</v>
      </c>
      <c r="H225" s="8">
        <v>13</v>
      </c>
      <c r="I225" s="8">
        <v>15</v>
      </c>
      <c r="J225" s="8">
        <v>14</v>
      </c>
      <c r="K225" s="8">
        <v>14</v>
      </c>
      <c r="L225" s="8">
        <v>18</v>
      </c>
      <c r="M225" s="9">
        <v>25</v>
      </c>
    </row>
    <row r="226" spans="1:13" x14ac:dyDescent="0.25">
      <c r="A226" s="15" t="str">
        <f t="shared" ref="A226" si="64">LEFT(B226,5)</f>
        <v>09531</v>
      </c>
      <c r="B226" s="7" t="s">
        <v>224</v>
      </c>
      <c r="C226" s="8">
        <v>12</v>
      </c>
      <c r="D226" s="8">
        <v>3</v>
      </c>
      <c r="E226" s="8">
        <v>7</v>
      </c>
      <c r="F226" s="8">
        <v>6</v>
      </c>
      <c r="G226" s="8">
        <v>9</v>
      </c>
      <c r="H226" s="8">
        <v>13</v>
      </c>
      <c r="I226" s="8">
        <v>15</v>
      </c>
      <c r="J226" s="8">
        <v>14</v>
      </c>
      <c r="K226" s="8">
        <v>14</v>
      </c>
      <c r="L226" s="8">
        <v>18</v>
      </c>
      <c r="M226" s="9">
        <v>25</v>
      </c>
    </row>
    <row r="227" spans="1:13" x14ac:dyDescent="0.25">
      <c r="A227" s="15" t="str">
        <f t="shared" si="53"/>
        <v>0954</v>
      </c>
      <c r="B227" s="6" t="s">
        <v>225</v>
      </c>
      <c r="C227" s="8">
        <v>72</v>
      </c>
      <c r="D227" s="8">
        <v>38</v>
      </c>
      <c r="E227" s="8">
        <v>38</v>
      </c>
      <c r="F227" s="8">
        <v>48</v>
      </c>
      <c r="G227" s="8">
        <v>72</v>
      </c>
      <c r="H227" s="8">
        <v>53</v>
      </c>
      <c r="I227" s="8">
        <v>72</v>
      </c>
      <c r="J227" s="8">
        <v>87</v>
      </c>
      <c r="K227" s="8">
        <v>92</v>
      </c>
      <c r="L227" s="8">
        <v>88</v>
      </c>
      <c r="M227" s="9">
        <v>129</v>
      </c>
    </row>
    <row r="228" spans="1:13" x14ac:dyDescent="0.25">
      <c r="A228" s="15" t="str">
        <f t="shared" ref="A228" si="65">LEFT(B228,5)</f>
        <v>09541</v>
      </c>
      <c r="B228" s="7" t="s">
        <v>226</v>
      </c>
      <c r="C228" s="8">
        <v>72</v>
      </c>
      <c r="D228" s="8">
        <v>38</v>
      </c>
      <c r="E228" s="8">
        <v>38</v>
      </c>
      <c r="F228" s="8">
        <v>48</v>
      </c>
      <c r="G228" s="8">
        <v>72</v>
      </c>
      <c r="H228" s="8">
        <v>53</v>
      </c>
      <c r="I228" s="8">
        <v>72</v>
      </c>
      <c r="J228" s="8">
        <v>87</v>
      </c>
      <c r="K228" s="8">
        <v>92</v>
      </c>
      <c r="L228" s="8">
        <v>88</v>
      </c>
      <c r="M228" s="9">
        <v>129</v>
      </c>
    </row>
    <row r="229" spans="1:13" x14ac:dyDescent="0.25">
      <c r="A229" s="20" t="s">
        <v>346</v>
      </c>
      <c r="B229" s="6" t="s">
        <v>227</v>
      </c>
      <c r="C229" s="8">
        <v>363</v>
      </c>
      <c r="D229" s="8">
        <v>89</v>
      </c>
      <c r="E229" s="8">
        <v>93</v>
      </c>
      <c r="F229" s="8">
        <v>107</v>
      </c>
      <c r="G229" s="8">
        <v>174</v>
      </c>
      <c r="H229" s="8">
        <v>227</v>
      </c>
      <c r="I229" s="8">
        <v>276</v>
      </c>
      <c r="J229" s="8">
        <v>340</v>
      </c>
      <c r="K229" s="8">
        <v>474</v>
      </c>
      <c r="L229" s="8">
        <v>677</v>
      </c>
      <c r="M229" s="9">
        <v>1171</v>
      </c>
    </row>
    <row r="230" spans="1:13" x14ac:dyDescent="0.25">
      <c r="A230" s="20" t="s">
        <v>353</v>
      </c>
      <c r="B230" s="6" t="s">
        <v>228</v>
      </c>
      <c r="C230" s="8">
        <v>363</v>
      </c>
      <c r="D230" s="8">
        <v>89</v>
      </c>
      <c r="E230" s="8">
        <v>93</v>
      </c>
      <c r="F230" s="8">
        <v>107</v>
      </c>
      <c r="G230" s="8">
        <v>174</v>
      </c>
      <c r="H230" s="8">
        <v>227</v>
      </c>
      <c r="I230" s="8">
        <v>276</v>
      </c>
      <c r="J230" s="8">
        <v>340</v>
      </c>
      <c r="K230" s="8">
        <v>474</v>
      </c>
      <c r="L230" s="8">
        <v>677</v>
      </c>
      <c r="M230" s="9">
        <v>1171</v>
      </c>
    </row>
    <row r="231" spans="1:13" x14ac:dyDescent="0.25">
      <c r="A231" s="15" t="str">
        <f t="shared" ref="A231" si="66">LEFT(B231,5)</f>
        <v>09611</v>
      </c>
      <c r="B231" s="7" t="s">
        <v>229</v>
      </c>
      <c r="C231" s="8">
        <v>363</v>
      </c>
      <c r="D231" s="8">
        <v>89</v>
      </c>
      <c r="E231" s="8">
        <v>93</v>
      </c>
      <c r="F231" s="8">
        <v>107</v>
      </c>
      <c r="G231" s="8">
        <v>174</v>
      </c>
      <c r="H231" s="8">
        <v>227</v>
      </c>
      <c r="I231" s="8">
        <v>276</v>
      </c>
      <c r="J231" s="8">
        <v>340</v>
      </c>
      <c r="K231" s="8">
        <v>474</v>
      </c>
      <c r="L231" s="8">
        <v>677</v>
      </c>
      <c r="M231" s="9">
        <v>1171</v>
      </c>
    </row>
    <row r="232" spans="1:13" x14ac:dyDescent="0.25">
      <c r="A232" s="23" t="s">
        <v>351</v>
      </c>
      <c r="B232" s="6" t="s">
        <v>230</v>
      </c>
      <c r="C232" s="8">
        <v>235</v>
      </c>
      <c r="D232" s="8">
        <v>90</v>
      </c>
      <c r="E232" s="8">
        <v>87</v>
      </c>
      <c r="F232" s="8">
        <v>101</v>
      </c>
      <c r="G232" s="8">
        <v>155</v>
      </c>
      <c r="H232" s="8">
        <v>160</v>
      </c>
      <c r="I232" s="8">
        <v>215</v>
      </c>
      <c r="J232" s="8">
        <v>269</v>
      </c>
      <c r="K232" s="8">
        <v>306</v>
      </c>
      <c r="L232" s="8">
        <v>366</v>
      </c>
      <c r="M232" s="9">
        <v>604</v>
      </c>
    </row>
    <row r="233" spans="1:13" x14ac:dyDescent="0.25">
      <c r="A233" s="15" t="str">
        <f t="shared" si="53"/>
        <v>0971</v>
      </c>
      <c r="B233" s="6" t="s">
        <v>231</v>
      </c>
      <c r="C233" s="8">
        <v>235</v>
      </c>
      <c r="D233" s="8">
        <v>90</v>
      </c>
      <c r="E233" s="8">
        <v>87</v>
      </c>
      <c r="F233" s="8">
        <v>101</v>
      </c>
      <c r="G233" s="8">
        <v>155</v>
      </c>
      <c r="H233" s="8">
        <v>160</v>
      </c>
      <c r="I233" s="8">
        <v>215</v>
      </c>
      <c r="J233" s="8">
        <v>269</v>
      </c>
      <c r="K233" s="8">
        <v>306</v>
      </c>
      <c r="L233" s="8">
        <v>366</v>
      </c>
      <c r="M233" s="9">
        <v>604</v>
      </c>
    </row>
    <row r="234" spans="1:13" x14ac:dyDescent="0.25">
      <c r="A234" s="15" t="str">
        <f t="shared" ref="A234" si="67">LEFT(B234,5)</f>
        <v>0971Z</v>
      </c>
      <c r="B234" s="7" t="s">
        <v>232</v>
      </c>
      <c r="C234" s="8">
        <v>235</v>
      </c>
      <c r="D234" s="8">
        <v>90</v>
      </c>
      <c r="E234" s="8">
        <v>87</v>
      </c>
      <c r="F234" s="8">
        <v>101</v>
      </c>
      <c r="G234" s="8">
        <v>155</v>
      </c>
      <c r="H234" s="8">
        <v>160</v>
      </c>
      <c r="I234" s="8">
        <v>215</v>
      </c>
      <c r="J234" s="8">
        <v>269</v>
      </c>
      <c r="K234" s="8">
        <v>306</v>
      </c>
      <c r="L234" s="8">
        <v>366</v>
      </c>
      <c r="M234" s="9">
        <v>604</v>
      </c>
    </row>
    <row r="235" spans="1:13" x14ac:dyDescent="0.25">
      <c r="A235" s="16" t="s">
        <v>310</v>
      </c>
      <c r="B235" s="6" t="s">
        <v>233</v>
      </c>
      <c r="C235" s="8">
        <v>214</v>
      </c>
      <c r="D235" s="8">
        <v>295</v>
      </c>
      <c r="E235" s="8">
        <v>230</v>
      </c>
      <c r="F235" s="8">
        <v>93</v>
      </c>
      <c r="G235" s="8">
        <v>169</v>
      </c>
      <c r="H235" s="8">
        <v>131</v>
      </c>
      <c r="I235" s="8">
        <v>134</v>
      </c>
      <c r="J235" s="8">
        <v>159</v>
      </c>
      <c r="K235" s="8">
        <v>202</v>
      </c>
      <c r="L235" s="8">
        <v>249</v>
      </c>
      <c r="M235" s="9">
        <v>472</v>
      </c>
    </row>
    <row r="236" spans="1:13" x14ac:dyDescent="0.25">
      <c r="A236" s="15" t="str">
        <f t="shared" si="53"/>
        <v xml:space="preserve">101 </v>
      </c>
      <c r="B236" s="6" t="s">
        <v>234</v>
      </c>
      <c r="C236" s="8">
        <v>214</v>
      </c>
      <c r="D236" s="8">
        <v>295</v>
      </c>
      <c r="E236" s="8">
        <v>230</v>
      </c>
      <c r="F236" s="8">
        <v>93</v>
      </c>
      <c r="G236" s="8">
        <v>169</v>
      </c>
      <c r="H236" s="8">
        <v>131</v>
      </c>
      <c r="I236" s="8">
        <v>134</v>
      </c>
      <c r="J236" s="8">
        <v>159</v>
      </c>
      <c r="K236" s="8">
        <v>202</v>
      </c>
      <c r="L236" s="8">
        <v>249</v>
      </c>
      <c r="M236" s="9">
        <v>472</v>
      </c>
    </row>
    <row r="237" spans="1:13" x14ac:dyDescent="0.25">
      <c r="A237" s="15" t="str">
        <f t="shared" si="53"/>
        <v>1011</v>
      </c>
      <c r="B237" s="6" t="s">
        <v>235</v>
      </c>
      <c r="C237" s="8">
        <v>22</v>
      </c>
      <c r="D237" s="8">
        <v>11</v>
      </c>
      <c r="E237" s="8">
        <v>36</v>
      </c>
      <c r="F237" s="8">
        <v>11</v>
      </c>
      <c r="G237" s="8">
        <v>10</v>
      </c>
      <c r="H237" s="8">
        <v>21</v>
      </c>
      <c r="I237" s="8">
        <v>11</v>
      </c>
      <c r="J237" s="8">
        <v>23</v>
      </c>
      <c r="K237" s="8">
        <v>18</v>
      </c>
      <c r="L237" s="8">
        <v>23</v>
      </c>
      <c r="M237" s="9">
        <v>55</v>
      </c>
    </row>
    <row r="238" spans="1:13" x14ac:dyDescent="0.25">
      <c r="A238" s="15" t="str">
        <f t="shared" ref="A238" si="68">LEFT(B238,5)</f>
        <v>10111</v>
      </c>
      <c r="B238" s="7" t="s">
        <v>236</v>
      </c>
      <c r="C238" s="8">
        <v>22</v>
      </c>
      <c r="D238" s="8">
        <v>11</v>
      </c>
      <c r="E238" s="8">
        <v>36</v>
      </c>
      <c r="F238" s="8">
        <v>11</v>
      </c>
      <c r="G238" s="8">
        <v>10</v>
      </c>
      <c r="H238" s="8">
        <v>21</v>
      </c>
      <c r="I238" s="8">
        <v>11</v>
      </c>
      <c r="J238" s="8">
        <v>23</v>
      </c>
      <c r="K238" s="8">
        <v>18</v>
      </c>
      <c r="L238" s="8">
        <v>23</v>
      </c>
      <c r="M238" s="9">
        <v>55</v>
      </c>
    </row>
    <row r="239" spans="1:13" x14ac:dyDescent="0.25">
      <c r="A239" s="20" t="s">
        <v>325</v>
      </c>
      <c r="B239" s="6" t="s">
        <v>237</v>
      </c>
      <c r="C239" s="12">
        <f>25+22</f>
        <v>47</v>
      </c>
      <c r="D239" s="12">
        <f>24+11</f>
        <v>35</v>
      </c>
      <c r="E239" s="12">
        <f>25+36</f>
        <v>61</v>
      </c>
      <c r="F239" s="12">
        <f>19+11</f>
        <v>30</v>
      </c>
      <c r="G239" s="12">
        <f>18+10</f>
        <v>28</v>
      </c>
      <c r="H239" s="12">
        <f>23+21</f>
        <v>44</v>
      </c>
      <c r="I239" s="12">
        <f>22+11</f>
        <v>33</v>
      </c>
      <c r="J239" s="12">
        <f>24+23</f>
        <v>47</v>
      </c>
      <c r="K239" s="12">
        <f>20+18</f>
        <v>38</v>
      </c>
      <c r="L239" s="12">
        <f>40+23</f>
        <v>63</v>
      </c>
      <c r="M239" s="13">
        <f>35+55</f>
        <v>90</v>
      </c>
    </row>
    <row r="240" spans="1:13" x14ac:dyDescent="0.25">
      <c r="A240" s="15" t="str">
        <f t="shared" ref="A240" si="69">LEFT(B240,5)</f>
        <v>10121</v>
      </c>
      <c r="B240" s="7" t="s">
        <v>238</v>
      </c>
      <c r="C240" s="8">
        <v>25</v>
      </c>
      <c r="D240" s="8">
        <v>24</v>
      </c>
      <c r="E240" s="8">
        <v>25</v>
      </c>
      <c r="F240" s="8">
        <v>19</v>
      </c>
      <c r="G240" s="8">
        <v>18</v>
      </c>
      <c r="H240" s="8">
        <v>23</v>
      </c>
      <c r="I240" s="8">
        <v>22</v>
      </c>
      <c r="J240" s="8">
        <v>24</v>
      </c>
      <c r="K240" s="8">
        <v>20</v>
      </c>
      <c r="L240" s="8">
        <v>40</v>
      </c>
      <c r="M240" s="9">
        <v>35</v>
      </c>
    </row>
    <row r="241" spans="1:13" x14ac:dyDescent="0.25">
      <c r="A241" s="20" t="s">
        <v>326</v>
      </c>
      <c r="B241" s="6" t="s">
        <v>239</v>
      </c>
      <c r="C241" s="12">
        <f>115+25</f>
        <v>140</v>
      </c>
      <c r="D241" s="12">
        <f>208+42</f>
        <v>250</v>
      </c>
      <c r="E241" s="12">
        <f>121+9</f>
        <v>130</v>
      </c>
      <c r="F241" s="12">
        <f>36+16</f>
        <v>52</v>
      </c>
      <c r="G241" s="12">
        <f>102+11</f>
        <v>113</v>
      </c>
      <c r="H241" s="12">
        <f>73+11</f>
        <v>84</v>
      </c>
      <c r="I241" s="12">
        <f>58+23</f>
        <v>81</v>
      </c>
      <c r="J241" s="12">
        <f>83+18</f>
        <v>101</v>
      </c>
      <c r="K241" s="12">
        <f>135+22</f>
        <v>157</v>
      </c>
      <c r="L241" s="12">
        <f>147+24</f>
        <v>171</v>
      </c>
      <c r="M241" s="13">
        <f>184+70</f>
        <v>254</v>
      </c>
    </row>
    <row r="242" spans="1:13" x14ac:dyDescent="0.25">
      <c r="A242" s="15" t="str">
        <f t="shared" ref="A242" si="70">LEFT(B242,5)</f>
        <v>10131</v>
      </c>
      <c r="B242" s="7" t="s">
        <v>240</v>
      </c>
      <c r="C242" s="8">
        <v>115</v>
      </c>
      <c r="D242" s="8">
        <v>208</v>
      </c>
      <c r="E242" s="8">
        <v>121</v>
      </c>
      <c r="F242" s="8">
        <v>36</v>
      </c>
      <c r="G242" s="8">
        <v>102</v>
      </c>
      <c r="H242" s="8">
        <v>73</v>
      </c>
      <c r="I242" s="8">
        <v>58</v>
      </c>
      <c r="J242" s="8">
        <v>83</v>
      </c>
      <c r="K242" s="8">
        <v>135</v>
      </c>
      <c r="L242" s="8">
        <v>147</v>
      </c>
      <c r="M242" s="9">
        <v>184</v>
      </c>
    </row>
    <row r="243" spans="1:13" x14ac:dyDescent="0.25">
      <c r="A243" s="15" t="str">
        <f t="shared" si="53"/>
        <v>1014</v>
      </c>
      <c r="B243" s="6" t="s">
        <v>241</v>
      </c>
      <c r="C243" s="8">
        <v>25</v>
      </c>
      <c r="D243" s="8">
        <v>42</v>
      </c>
      <c r="E243" s="8">
        <v>9</v>
      </c>
      <c r="F243" s="8">
        <v>16</v>
      </c>
      <c r="G243" s="8">
        <v>11</v>
      </c>
      <c r="H243" s="8">
        <v>11</v>
      </c>
      <c r="I243" s="8">
        <v>23</v>
      </c>
      <c r="J243" s="8">
        <v>18</v>
      </c>
      <c r="K243" s="8">
        <v>22</v>
      </c>
      <c r="L243" s="8">
        <v>24</v>
      </c>
      <c r="M243" s="9">
        <v>70</v>
      </c>
    </row>
    <row r="244" spans="1:13" x14ac:dyDescent="0.25">
      <c r="A244" s="15" t="str">
        <f t="shared" ref="A244" si="71">LEFT(B244,5)</f>
        <v>10141</v>
      </c>
      <c r="B244" s="7" t="s">
        <v>242</v>
      </c>
      <c r="C244" s="8">
        <v>25</v>
      </c>
      <c r="D244" s="8">
        <v>42</v>
      </c>
      <c r="E244" s="8">
        <v>9</v>
      </c>
      <c r="F244" s="8">
        <v>16</v>
      </c>
      <c r="G244" s="8">
        <v>11</v>
      </c>
      <c r="H244" s="8">
        <v>11</v>
      </c>
      <c r="I244" s="8">
        <v>23</v>
      </c>
      <c r="J244" s="8">
        <v>18</v>
      </c>
      <c r="K244" s="8">
        <v>22</v>
      </c>
      <c r="L244" s="8">
        <v>24</v>
      </c>
      <c r="M244" s="9">
        <v>70</v>
      </c>
    </row>
    <row r="245" spans="1:13" x14ac:dyDescent="0.25">
      <c r="A245" s="15" t="str">
        <f t="shared" si="53"/>
        <v>1015</v>
      </c>
      <c r="B245" s="6" t="s">
        <v>243</v>
      </c>
      <c r="C245" s="8">
        <v>28</v>
      </c>
      <c r="D245" s="8">
        <v>11</v>
      </c>
      <c r="E245" s="8">
        <v>39</v>
      </c>
      <c r="F245" s="8">
        <v>11</v>
      </c>
      <c r="G245" s="8">
        <v>29</v>
      </c>
      <c r="H245" s="8">
        <v>3</v>
      </c>
      <c r="I245" s="8">
        <v>20</v>
      </c>
      <c r="J245" s="8">
        <v>12</v>
      </c>
      <c r="K245" s="8">
        <v>8</v>
      </c>
      <c r="L245" s="8">
        <v>15</v>
      </c>
      <c r="M245" s="9">
        <v>129</v>
      </c>
    </row>
    <row r="246" spans="1:13" x14ac:dyDescent="0.25">
      <c r="A246" s="15" t="str">
        <f t="shared" ref="A246" si="72">LEFT(B246,5)</f>
        <v>1015Z</v>
      </c>
      <c r="B246" s="7" t="s">
        <v>244</v>
      </c>
      <c r="C246" s="8">
        <v>28</v>
      </c>
      <c r="D246" s="8">
        <v>11</v>
      </c>
      <c r="E246" s="8">
        <v>39</v>
      </c>
      <c r="F246" s="8">
        <v>11</v>
      </c>
      <c r="G246" s="8">
        <v>29</v>
      </c>
      <c r="H246" s="8">
        <v>3</v>
      </c>
      <c r="I246" s="8">
        <v>20</v>
      </c>
      <c r="J246" s="8">
        <v>12</v>
      </c>
      <c r="K246" s="8">
        <v>8</v>
      </c>
      <c r="L246" s="8">
        <v>15</v>
      </c>
      <c r="M246" s="9">
        <v>129</v>
      </c>
    </row>
    <row r="247" spans="1:13" x14ac:dyDescent="0.25">
      <c r="A247" s="16" t="s">
        <v>320</v>
      </c>
      <c r="B247" s="6" t="s">
        <v>245</v>
      </c>
      <c r="C247" s="8">
        <v>1972</v>
      </c>
      <c r="D247" s="8">
        <v>851</v>
      </c>
      <c r="E247" s="8">
        <v>939</v>
      </c>
      <c r="F247" s="8">
        <v>1000</v>
      </c>
      <c r="G247" s="8">
        <v>1373</v>
      </c>
      <c r="H247" s="8">
        <v>1524</v>
      </c>
      <c r="I247" s="8">
        <v>1766</v>
      </c>
      <c r="J247" s="8">
        <v>1969</v>
      </c>
      <c r="K247" s="8">
        <v>2338</v>
      </c>
      <c r="L247" s="8">
        <v>3011</v>
      </c>
      <c r="M247" s="9">
        <v>4928</v>
      </c>
    </row>
    <row r="248" spans="1:13" x14ac:dyDescent="0.25">
      <c r="A248" s="15" t="str">
        <f t="shared" si="53"/>
        <v xml:space="preserve">111 </v>
      </c>
      <c r="B248" s="6" t="s">
        <v>246</v>
      </c>
      <c r="C248" s="8">
        <v>1635</v>
      </c>
      <c r="D248" s="8">
        <v>763</v>
      </c>
      <c r="E248" s="8">
        <v>792</v>
      </c>
      <c r="F248" s="8">
        <v>876</v>
      </c>
      <c r="G248" s="8">
        <v>1139</v>
      </c>
      <c r="H248" s="8">
        <v>1319</v>
      </c>
      <c r="I248" s="8">
        <v>1541</v>
      </c>
      <c r="J248" s="8">
        <v>1651</v>
      </c>
      <c r="K248" s="8">
        <v>1928</v>
      </c>
      <c r="L248" s="8">
        <v>2468</v>
      </c>
      <c r="M248" s="9">
        <v>3857</v>
      </c>
    </row>
    <row r="249" spans="1:13" x14ac:dyDescent="0.25">
      <c r="A249" s="15" t="str">
        <f t="shared" si="53"/>
        <v>1111</v>
      </c>
      <c r="B249" s="6" t="s">
        <v>247</v>
      </c>
      <c r="C249" s="8">
        <v>1023</v>
      </c>
      <c r="D249" s="8">
        <v>424</v>
      </c>
      <c r="E249" s="8">
        <v>433</v>
      </c>
      <c r="F249" s="8">
        <v>536</v>
      </c>
      <c r="G249" s="8">
        <v>686</v>
      </c>
      <c r="H249" s="8">
        <v>815</v>
      </c>
      <c r="I249" s="8">
        <v>992</v>
      </c>
      <c r="J249" s="8">
        <v>1030</v>
      </c>
      <c r="K249" s="8">
        <v>1213</v>
      </c>
      <c r="L249" s="8">
        <v>1599</v>
      </c>
      <c r="M249" s="9">
        <v>2499</v>
      </c>
    </row>
    <row r="250" spans="1:13" x14ac:dyDescent="0.25">
      <c r="A250" s="15" t="str">
        <f t="shared" ref="A250:A251" si="73">LEFT(B250,5)</f>
        <v>11111</v>
      </c>
      <c r="B250" s="7" t="s">
        <v>248</v>
      </c>
      <c r="C250" s="8">
        <v>575</v>
      </c>
      <c r="D250" s="8">
        <v>150</v>
      </c>
      <c r="E250" s="8">
        <v>184</v>
      </c>
      <c r="F250" s="8">
        <v>250</v>
      </c>
      <c r="G250" s="8">
        <v>342</v>
      </c>
      <c r="H250" s="8">
        <v>401</v>
      </c>
      <c r="I250" s="8">
        <v>523</v>
      </c>
      <c r="J250" s="8">
        <v>545</v>
      </c>
      <c r="K250" s="8">
        <v>690</v>
      </c>
      <c r="L250" s="8">
        <v>971</v>
      </c>
      <c r="M250" s="9">
        <v>1691</v>
      </c>
    </row>
    <row r="251" spans="1:13" x14ac:dyDescent="0.25">
      <c r="A251" s="15" t="str">
        <f t="shared" si="73"/>
        <v>11112</v>
      </c>
      <c r="B251" s="7" t="s">
        <v>249</v>
      </c>
      <c r="C251" s="8">
        <v>448</v>
      </c>
      <c r="D251" s="8">
        <v>274</v>
      </c>
      <c r="E251" s="8">
        <v>249</v>
      </c>
      <c r="F251" s="8">
        <v>286</v>
      </c>
      <c r="G251" s="8">
        <v>344</v>
      </c>
      <c r="H251" s="8">
        <v>414</v>
      </c>
      <c r="I251" s="8">
        <v>468</v>
      </c>
      <c r="J251" s="8">
        <v>484</v>
      </c>
      <c r="K251" s="8">
        <v>523</v>
      </c>
      <c r="L251" s="8">
        <v>628</v>
      </c>
      <c r="M251" s="9">
        <v>808</v>
      </c>
    </row>
    <row r="252" spans="1:13" x14ac:dyDescent="0.25">
      <c r="A252" s="15" t="str">
        <f t="shared" si="53"/>
        <v>1112</v>
      </c>
      <c r="B252" s="6" t="s">
        <v>250</v>
      </c>
      <c r="C252" s="8">
        <v>358</v>
      </c>
      <c r="D252" s="8">
        <v>258</v>
      </c>
      <c r="E252" s="8">
        <v>277</v>
      </c>
      <c r="F252" s="8">
        <v>247</v>
      </c>
      <c r="G252" s="8">
        <v>299</v>
      </c>
      <c r="H252" s="8">
        <v>339</v>
      </c>
      <c r="I252" s="8">
        <v>346</v>
      </c>
      <c r="J252" s="8">
        <v>379</v>
      </c>
      <c r="K252" s="8">
        <v>380</v>
      </c>
      <c r="L252" s="8">
        <v>437</v>
      </c>
      <c r="M252" s="9">
        <v>615</v>
      </c>
    </row>
    <row r="253" spans="1:13" x14ac:dyDescent="0.25">
      <c r="A253" s="15" t="str">
        <f t="shared" ref="A253:A255" si="74">LEFT(B253,5)</f>
        <v>11121</v>
      </c>
      <c r="B253" s="7" t="s">
        <v>251</v>
      </c>
      <c r="C253" s="8">
        <v>358</v>
      </c>
      <c r="D253" s="8">
        <v>258</v>
      </c>
      <c r="E253" s="8">
        <v>277</v>
      </c>
      <c r="F253" s="8">
        <v>247</v>
      </c>
      <c r="G253" s="8">
        <v>299</v>
      </c>
      <c r="H253" s="8">
        <v>339</v>
      </c>
      <c r="I253" s="8">
        <v>346</v>
      </c>
      <c r="J253" s="8">
        <v>379</v>
      </c>
      <c r="K253" s="8">
        <v>380</v>
      </c>
      <c r="L253" s="8">
        <v>437</v>
      </c>
      <c r="M253" s="9">
        <v>615</v>
      </c>
    </row>
    <row r="254" spans="1:13" x14ac:dyDescent="0.25">
      <c r="A254" s="15" t="str">
        <f t="shared" si="53"/>
        <v>1113</v>
      </c>
      <c r="B254" s="6" t="s">
        <v>252</v>
      </c>
      <c r="C254" s="8">
        <v>253</v>
      </c>
      <c r="D254" s="8">
        <v>81</v>
      </c>
      <c r="E254" s="8">
        <v>82</v>
      </c>
      <c r="F254" s="8">
        <v>92</v>
      </c>
      <c r="G254" s="8">
        <v>154</v>
      </c>
      <c r="H254" s="8">
        <v>166</v>
      </c>
      <c r="I254" s="8">
        <v>204</v>
      </c>
      <c r="J254" s="8">
        <v>242</v>
      </c>
      <c r="K254" s="8">
        <v>335</v>
      </c>
      <c r="L254" s="8">
        <v>432</v>
      </c>
      <c r="M254" s="9">
        <v>744</v>
      </c>
    </row>
    <row r="255" spans="1:13" x14ac:dyDescent="0.25">
      <c r="A255" s="15" t="str">
        <f t="shared" si="74"/>
        <v>1113Z</v>
      </c>
      <c r="B255" s="7" t="s">
        <v>253</v>
      </c>
      <c r="C255" s="8">
        <v>253</v>
      </c>
      <c r="D255" s="8">
        <v>81</v>
      </c>
      <c r="E255" s="8">
        <v>82</v>
      </c>
      <c r="F255" s="8">
        <v>92</v>
      </c>
      <c r="G255" s="8">
        <v>154</v>
      </c>
      <c r="H255" s="8">
        <v>166</v>
      </c>
      <c r="I255" s="8">
        <v>204</v>
      </c>
      <c r="J255" s="8">
        <v>242</v>
      </c>
      <c r="K255" s="8">
        <v>335</v>
      </c>
      <c r="L255" s="8">
        <v>432</v>
      </c>
      <c r="M255" s="9">
        <v>744</v>
      </c>
    </row>
    <row r="256" spans="1:13" x14ac:dyDescent="0.25">
      <c r="A256" s="20" t="s">
        <v>345</v>
      </c>
      <c r="B256" s="7" t="s">
        <v>254</v>
      </c>
      <c r="C256" s="8">
        <v>337</v>
      </c>
      <c r="D256" s="8">
        <v>88</v>
      </c>
      <c r="E256" s="8">
        <v>147</v>
      </c>
      <c r="F256" s="8">
        <v>125</v>
      </c>
      <c r="G256" s="8">
        <v>234</v>
      </c>
      <c r="H256" s="8">
        <v>205</v>
      </c>
      <c r="I256" s="8">
        <v>225</v>
      </c>
      <c r="J256" s="8">
        <v>317</v>
      </c>
      <c r="K256" s="8">
        <v>410</v>
      </c>
      <c r="L256" s="8">
        <v>543</v>
      </c>
      <c r="M256" s="9">
        <v>1071</v>
      </c>
    </row>
    <row r="257" spans="1:13" x14ac:dyDescent="0.25">
      <c r="A257" s="20" t="s">
        <v>331</v>
      </c>
      <c r="B257" s="7" t="s">
        <v>255</v>
      </c>
      <c r="C257" s="8">
        <v>337</v>
      </c>
      <c r="D257" s="8">
        <v>88</v>
      </c>
      <c r="E257" s="8">
        <v>147</v>
      </c>
      <c r="F257" s="8">
        <v>125</v>
      </c>
      <c r="G257" s="8">
        <v>234</v>
      </c>
      <c r="H257" s="8">
        <v>205</v>
      </c>
      <c r="I257" s="8">
        <v>225</v>
      </c>
      <c r="J257" s="8">
        <v>317</v>
      </c>
      <c r="K257" s="8">
        <v>410</v>
      </c>
      <c r="L257" s="8">
        <v>543</v>
      </c>
      <c r="M257" s="9">
        <v>1071</v>
      </c>
    </row>
    <row r="258" spans="1:13" x14ac:dyDescent="0.25">
      <c r="A258" s="15" t="str">
        <f t="shared" ref="A258" si="75">LEFT(B258,5)</f>
        <v>11211</v>
      </c>
      <c r="B258" s="7" t="s">
        <v>256</v>
      </c>
      <c r="C258" s="8">
        <v>337</v>
      </c>
      <c r="D258" s="8">
        <v>88</v>
      </c>
      <c r="E258" s="8">
        <v>147</v>
      </c>
      <c r="F258" s="8">
        <v>125</v>
      </c>
      <c r="G258" s="8">
        <v>234</v>
      </c>
      <c r="H258" s="8">
        <v>205</v>
      </c>
      <c r="I258" s="8">
        <v>225</v>
      </c>
      <c r="J258" s="8">
        <v>317</v>
      </c>
      <c r="K258" s="8">
        <v>410</v>
      </c>
      <c r="L258" s="8">
        <v>543</v>
      </c>
      <c r="M258" s="9">
        <v>1071</v>
      </c>
    </row>
    <row r="259" spans="1:13" x14ac:dyDescent="0.25">
      <c r="A259" s="16" t="s">
        <v>321</v>
      </c>
      <c r="B259" s="6" t="s">
        <v>257</v>
      </c>
      <c r="C259" s="8">
        <v>4343</v>
      </c>
      <c r="D259" s="8">
        <v>2082</v>
      </c>
      <c r="E259" s="8">
        <v>2641</v>
      </c>
      <c r="F259" s="8">
        <v>3253</v>
      </c>
      <c r="G259" s="8">
        <v>3445</v>
      </c>
      <c r="H259" s="8">
        <v>3786</v>
      </c>
      <c r="I259" s="8">
        <v>4454</v>
      </c>
      <c r="J259" s="8">
        <v>4807</v>
      </c>
      <c r="K259" s="8">
        <v>5647</v>
      </c>
      <c r="L259" s="8">
        <v>5806</v>
      </c>
      <c r="M259" s="9">
        <v>7485</v>
      </c>
    </row>
    <row r="260" spans="1:13" x14ac:dyDescent="0.25">
      <c r="A260" s="15" t="str">
        <f t="shared" si="53"/>
        <v xml:space="preserve">121 </v>
      </c>
      <c r="B260" s="6" t="s">
        <v>258</v>
      </c>
      <c r="C260" s="8">
        <v>754</v>
      </c>
      <c r="D260" s="8">
        <v>392</v>
      </c>
      <c r="E260" s="8">
        <v>463</v>
      </c>
      <c r="F260" s="8">
        <v>520</v>
      </c>
      <c r="G260" s="8">
        <v>609</v>
      </c>
      <c r="H260" s="8">
        <v>666</v>
      </c>
      <c r="I260" s="8">
        <v>772</v>
      </c>
      <c r="J260" s="8">
        <v>836</v>
      </c>
      <c r="K260" s="8">
        <v>957</v>
      </c>
      <c r="L260" s="8">
        <v>1069</v>
      </c>
      <c r="M260" s="9">
        <v>1250</v>
      </c>
    </row>
    <row r="261" spans="1:13" x14ac:dyDescent="0.25">
      <c r="A261" s="15" t="str">
        <f t="shared" si="53"/>
        <v>1211</v>
      </c>
      <c r="B261" s="6" t="s">
        <v>259</v>
      </c>
      <c r="C261" s="8">
        <v>337</v>
      </c>
      <c r="D261" s="8">
        <v>173</v>
      </c>
      <c r="E261" s="8">
        <v>180</v>
      </c>
      <c r="F261" s="8">
        <v>224</v>
      </c>
      <c r="G261" s="8">
        <v>252</v>
      </c>
      <c r="H261" s="8">
        <v>306</v>
      </c>
      <c r="I261" s="8">
        <v>339</v>
      </c>
      <c r="J261" s="8">
        <v>389</v>
      </c>
      <c r="K261" s="8">
        <v>415</v>
      </c>
      <c r="L261" s="8">
        <v>479</v>
      </c>
      <c r="M261" s="9">
        <v>612</v>
      </c>
    </row>
    <row r="262" spans="1:13" x14ac:dyDescent="0.25">
      <c r="A262" s="15" t="str">
        <f t="shared" ref="A262" si="76">LEFT(B262,5)</f>
        <v>12111</v>
      </c>
      <c r="B262" s="7" t="s">
        <v>260</v>
      </c>
      <c r="C262" s="8">
        <v>337</v>
      </c>
      <c r="D262" s="8">
        <v>173</v>
      </c>
      <c r="E262" s="8">
        <v>180</v>
      </c>
      <c r="F262" s="8">
        <v>224</v>
      </c>
      <c r="G262" s="8">
        <v>252</v>
      </c>
      <c r="H262" s="8">
        <v>306</v>
      </c>
      <c r="I262" s="8">
        <v>339</v>
      </c>
      <c r="J262" s="8">
        <v>389</v>
      </c>
      <c r="K262" s="8">
        <v>415</v>
      </c>
      <c r="L262" s="8">
        <v>479</v>
      </c>
      <c r="M262" s="9">
        <v>612</v>
      </c>
    </row>
    <row r="263" spans="1:13" x14ac:dyDescent="0.25">
      <c r="A263" s="22" t="str">
        <f t="shared" ref="A263:A296" si="77">LEFT(B263,4)</f>
        <v>1212</v>
      </c>
      <c r="B263" s="6" t="s">
        <v>261</v>
      </c>
      <c r="C263" s="12">
        <v>0.1</v>
      </c>
      <c r="D263" s="12">
        <v>0.1</v>
      </c>
      <c r="E263" s="12">
        <v>0.1</v>
      </c>
      <c r="F263" s="12">
        <v>0.1</v>
      </c>
      <c r="G263" s="12">
        <v>0.1</v>
      </c>
      <c r="H263" s="12">
        <v>0.1</v>
      </c>
      <c r="I263" s="12">
        <v>0.1</v>
      </c>
      <c r="J263" s="12">
        <v>0.1</v>
      </c>
      <c r="K263" s="12">
        <v>0.1</v>
      </c>
      <c r="L263" s="12">
        <v>0.1</v>
      </c>
      <c r="M263" s="12">
        <v>0.1</v>
      </c>
    </row>
    <row r="264" spans="1:13" x14ac:dyDescent="0.25">
      <c r="A264" s="23" t="s">
        <v>354</v>
      </c>
      <c r="B264" s="7" t="s">
        <v>262</v>
      </c>
      <c r="C264" s="8">
        <v>417</v>
      </c>
      <c r="D264" s="8">
        <v>219</v>
      </c>
      <c r="E264" s="8">
        <v>282</v>
      </c>
      <c r="F264" s="8">
        <v>296</v>
      </c>
      <c r="G264" s="8">
        <v>356</v>
      </c>
      <c r="H264" s="8">
        <v>360</v>
      </c>
      <c r="I264" s="8">
        <v>433</v>
      </c>
      <c r="J264" s="8">
        <v>447</v>
      </c>
      <c r="K264" s="8">
        <v>541</v>
      </c>
      <c r="L264" s="8">
        <v>591</v>
      </c>
      <c r="M264" s="9">
        <v>638</v>
      </c>
    </row>
    <row r="265" spans="1:13" x14ac:dyDescent="0.25">
      <c r="A265" s="15" t="str">
        <f t="shared" si="77"/>
        <v xml:space="preserve">123 </v>
      </c>
      <c r="B265" s="6" t="s">
        <v>263</v>
      </c>
      <c r="C265" s="8">
        <v>171</v>
      </c>
      <c r="D265" s="8">
        <v>90</v>
      </c>
      <c r="E265" s="8">
        <v>74</v>
      </c>
      <c r="F265" s="8">
        <v>99</v>
      </c>
      <c r="G265" s="8">
        <v>104</v>
      </c>
      <c r="H265" s="8">
        <v>98</v>
      </c>
      <c r="I265" s="8">
        <v>146</v>
      </c>
      <c r="J265" s="8">
        <v>169</v>
      </c>
      <c r="K265" s="8">
        <v>240</v>
      </c>
      <c r="L265" s="8">
        <v>269</v>
      </c>
      <c r="M265" s="9">
        <v>420</v>
      </c>
    </row>
    <row r="266" spans="1:13" x14ac:dyDescent="0.25">
      <c r="A266" s="15" t="str">
        <f t="shared" si="77"/>
        <v>1231</v>
      </c>
      <c r="B266" s="6" t="s">
        <v>264</v>
      </c>
      <c r="C266" s="8">
        <v>55</v>
      </c>
      <c r="D266" s="8">
        <v>40</v>
      </c>
      <c r="E266" s="8">
        <v>14</v>
      </c>
      <c r="F266" s="8">
        <v>22</v>
      </c>
      <c r="G266" s="8">
        <v>28</v>
      </c>
      <c r="H266" s="8">
        <v>27</v>
      </c>
      <c r="I266" s="8">
        <v>46</v>
      </c>
      <c r="J266" s="8">
        <v>49</v>
      </c>
      <c r="K266" s="8">
        <v>79</v>
      </c>
      <c r="L266" s="8">
        <v>70</v>
      </c>
      <c r="M266" s="9">
        <v>175</v>
      </c>
    </row>
    <row r="267" spans="1:13" x14ac:dyDescent="0.25">
      <c r="A267" s="15" t="str">
        <f t="shared" ref="A267" si="78">LEFT(B267,5)</f>
        <v>12311</v>
      </c>
      <c r="B267" s="7" t="s">
        <v>265</v>
      </c>
      <c r="C267" s="8">
        <v>55</v>
      </c>
      <c r="D267" s="8">
        <v>40</v>
      </c>
      <c r="E267" s="8">
        <v>14</v>
      </c>
      <c r="F267" s="8">
        <v>22</v>
      </c>
      <c r="G267" s="8">
        <v>28</v>
      </c>
      <c r="H267" s="8">
        <v>27</v>
      </c>
      <c r="I267" s="8">
        <v>46</v>
      </c>
      <c r="J267" s="8">
        <v>49</v>
      </c>
      <c r="K267" s="8">
        <v>79</v>
      </c>
      <c r="L267" s="8">
        <v>70</v>
      </c>
      <c r="M267" s="9">
        <v>175</v>
      </c>
    </row>
    <row r="268" spans="1:13" x14ac:dyDescent="0.25">
      <c r="A268" s="15" t="str">
        <f t="shared" si="77"/>
        <v>1232</v>
      </c>
      <c r="B268" s="6" t="s">
        <v>266</v>
      </c>
      <c r="C268" s="8">
        <v>71</v>
      </c>
      <c r="D268" s="8">
        <v>29</v>
      </c>
      <c r="E268" s="8">
        <v>39</v>
      </c>
      <c r="F268" s="8">
        <v>42</v>
      </c>
      <c r="G268" s="8">
        <v>44</v>
      </c>
      <c r="H268" s="8">
        <v>39</v>
      </c>
      <c r="I268" s="8">
        <v>55</v>
      </c>
      <c r="J268" s="8">
        <v>81</v>
      </c>
      <c r="K268" s="8">
        <v>109</v>
      </c>
      <c r="L268" s="8">
        <v>135</v>
      </c>
      <c r="M268" s="9">
        <v>140</v>
      </c>
    </row>
    <row r="269" spans="1:13" x14ac:dyDescent="0.25">
      <c r="A269" s="15" t="str">
        <f t="shared" ref="A269" si="79">LEFT(B269,5)</f>
        <v>1232Z</v>
      </c>
      <c r="B269" s="7" t="s">
        <v>267</v>
      </c>
      <c r="C269" s="8">
        <v>71</v>
      </c>
      <c r="D269" s="8">
        <v>29</v>
      </c>
      <c r="E269" s="8">
        <v>39</v>
      </c>
      <c r="F269" s="8">
        <v>42</v>
      </c>
      <c r="G269" s="8">
        <v>44</v>
      </c>
      <c r="H269" s="8">
        <v>39</v>
      </c>
      <c r="I269" s="8">
        <v>55</v>
      </c>
      <c r="J269" s="8">
        <v>81</v>
      </c>
      <c r="K269" s="8">
        <v>109</v>
      </c>
      <c r="L269" s="8">
        <v>135</v>
      </c>
      <c r="M269" s="9">
        <v>140</v>
      </c>
    </row>
    <row r="270" spans="1:13" x14ac:dyDescent="0.25">
      <c r="A270" s="15" t="str">
        <f t="shared" si="77"/>
        <v>1233</v>
      </c>
      <c r="B270" s="6" t="s">
        <v>268</v>
      </c>
      <c r="C270" s="8">
        <v>44</v>
      </c>
      <c r="D270" s="8">
        <v>21</v>
      </c>
      <c r="E270" s="8">
        <v>21</v>
      </c>
      <c r="F270" s="8">
        <v>35</v>
      </c>
      <c r="G270" s="8">
        <v>32</v>
      </c>
      <c r="H270" s="8">
        <v>31</v>
      </c>
      <c r="I270" s="8">
        <v>45</v>
      </c>
      <c r="J270" s="8">
        <v>39</v>
      </c>
      <c r="K270" s="8">
        <v>52</v>
      </c>
      <c r="L270" s="8">
        <v>64</v>
      </c>
      <c r="M270" s="9">
        <v>104</v>
      </c>
    </row>
    <row r="271" spans="1:13" x14ac:dyDescent="0.25">
      <c r="A271" s="15" t="str">
        <f t="shared" ref="A271" si="80">LEFT(B271,5)</f>
        <v>12331</v>
      </c>
      <c r="B271" s="7" t="s">
        <v>269</v>
      </c>
      <c r="C271" s="8">
        <v>44</v>
      </c>
      <c r="D271" s="8">
        <v>21</v>
      </c>
      <c r="E271" s="8">
        <v>21</v>
      </c>
      <c r="F271" s="8">
        <v>35</v>
      </c>
      <c r="G271" s="8">
        <v>32</v>
      </c>
      <c r="H271" s="8">
        <v>31</v>
      </c>
      <c r="I271" s="8">
        <v>45</v>
      </c>
      <c r="J271" s="8">
        <v>39</v>
      </c>
      <c r="K271" s="8">
        <v>52</v>
      </c>
      <c r="L271" s="8">
        <v>64</v>
      </c>
      <c r="M271" s="9">
        <v>104</v>
      </c>
    </row>
    <row r="272" spans="1:13" x14ac:dyDescent="0.25">
      <c r="A272" s="23" t="s">
        <v>344</v>
      </c>
      <c r="B272" s="6" t="s">
        <v>270</v>
      </c>
      <c r="C272" s="8">
        <v>309</v>
      </c>
      <c r="D272" s="8">
        <v>41</v>
      </c>
      <c r="E272" s="8">
        <v>94</v>
      </c>
      <c r="F272" s="8">
        <v>169</v>
      </c>
      <c r="G272" s="8">
        <v>130</v>
      </c>
      <c r="H272" s="8">
        <v>234</v>
      </c>
      <c r="I272" s="8">
        <v>307</v>
      </c>
      <c r="J272" s="8">
        <v>376</v>
      </c>
      <c r="K272" s="8">
        <v>638</v>
      </c>
      <c r="L272" s="8">
        <v>506</v>
      </c>
      <c r="M272" s="9">
        <v>591</v>
      </c>
    </row>
    <row r="273" spans="1:13" x14ac:dyDescent="0.25">
      <c r="A273" s="23" t="s">
        <v>332</v>
      </c>
      <c r="B273" s="6" t="s">
        <v>271</v>
      </c>
      <c r="C273" s="8">
        <v>309</v>
      </c>
      <c r="D273" s="8">
        <v>41</v>
      </c>
      <c r="E273" s="8">
        <v>94</v>
      </c>
      <c r="F273" s="8">
        <v>169</v>
      </c>
      <c r="G273" s="8">
        <v>130</v>
      </c>
      <c r="H273" s="8">
        <v>234</v>
      </c>
      <c r="I273" s="8">
        <v>307</v>
      </c>
      <c r="J273" s="8">
        <v>376</v>
      </c>
      <c r="K273" s="8">
        <v>638</v>
      </c>
      <c r="L273" s="8">
        <v>506</v>
      </c>
      <c r="M273" s="9">
        <v>591</v>
      </c>
    </row>
    <row r="274" spans="1:13" x14ac:dyDescent="0.25">
      <c r="A274" s="15" t="str">
        <f t="shared" ref="A274" si="81">LEFT(B274,5)</f>
        <v>12411</v>
      </c>
      <c r="B274" s="7" t="s">
        <v>272</v>
      </c>
      <c r="C274" s="8">
        <v>309</v>
      </c>
      <c r="D274" s="8">
        <v>41</v>
      </c>
      <c r="E274" s="8">
        <v>94</v>
      </c>
      <c r="F274" s="8">
        <v>169</v>
      </c>
      <c r="G274" s="8">
        <v>130</v>
      </c>
      <c r="H274" s="8">
        <v>234</v>
      </c>
      <c r="I274" s="8">
        <v>307</v>
      </c>
      <c r="J274" s="8">
        <v>376</v>
      </c>
      <c r="K274" s="8">
        <v>638</v>
      </c>
      <c r="L274" s="8">
        <v>506</v>
      </c>
      <c r="M274" s="9">
        <v>591</v>
      </c>
    </row>
    <row r="275" spans="1:13" x14ac:dyDescent="0.25">
      <c r="A275" s="15" t="str">
        <f t="shared" si="77"/>
        <v xml:space="preserve">125 </v>
      </c>
      <c r="B275" s="6" t="s">
        <v>273</v>
      </c>
      <c r="C275" s="8">
        <v>2325</v>
      </c>
      <c r="D275" s="8">
        <v>1221</v>
      </c>
      <c r="E275" s="8">
        <v>1665</v>
      </c>
      <c r="F275" s="8">
        <v>1923</v>
      </c>
      <c r="G275" s="8">
        <v>2193</v>
      </c>
      <c r="H275" s="8">
        <v>2265</v>
      </c>
      <c r="I275" s="8">
        <v>2487</v>
      </c>
      <c r="J275" s="8">
        <v>2567</v>
      </c>
      <c r="K275" s="8">
        <v>2711</v>
      </c>
      <c r="L275" s="8">
        <v>2849</v>
      </c>
      <c r="M275" s="9">
        <v>3355</v>
      </c>
    </row>
    <row r="276" spans="1:13" x14ac:dyDescent="0.25">
      <c r="A276" s="15" t="str">
        <f t="shared" si="77"/>
        <v>1251</v>
      </c>
      <c r="B276" s="6" t="s">
        <v>274</v>
      </c>
      <c r="C276" s="8">
        <v>39</v>
      </c>
      <c r="D276" s="8">
        <v>21</v>
      </c>
      <c r="E276" s="8">
        <v>30</v>
      </c>
      <c r="F276" s="8">
        <v>35</v>
      </c>
      <c r="G276" s="8">
        <v>43</v>
      </c>
      <c r="H276" s="8">
        <v>40</v>
      </c>
      <c r="I276" s="8">
        <v>37</v>
      </c>
      <c r="J276" s="8">
        <v>44</v>
      </c>
      <c r="K276" s="8">
        <v>47</v>
      </c>
      <c r="L276" s="8">
        <v>43</v>
      </c>
      <c r="M276" s="9">
        <v>52</v>
      </c>
    </row>
    <row r="277" spans="1:13" x14ac:dyDescent="0.25">
      <c r="A277" s="15" t="str">
        <f t="shared" ref="A277" si="82">LEFT(B277,5)</f>
        <v>12511</v>
      </c>
      <c r="B277" s="7" t="s">
        <v>275</v>
      </c>
      <c r="C277" s="8">
        <v>39</v>
      </c>
      <c r="D277" s="8">
        <v>21</v>
      </c>
      <c r="E277" s="8">
        <v>30</v>
      </c>
      <c r="F277" s="8">
        <v>35</v>
      </c>
      <c r="G277" s="8">
        <v>43</v>
      </c>
      <c r="H277" s="8">
        <v>40</v>
      </c>
      <c r="I277" s="8">
        <v>37</v>
      </c>
      <c r="J277" s="8">
        <v>44</v>
      </c>
      <c r="K277" s="8">
        <v>47</v>
      </c>
      <c r="L277" s="8">
        <v>43</v>
      </c>
      <c r="M277" s="9">
        <v>52</v>
      </c>
    </row>
    <row r="278" spans="1:13" x14ac:dyDescent="0.25">
      <c r="A278" s="15" t="str">
        <f t="shared" si="77"/>
        <v>1252</v>
      </c>
      <c r="B278" s="6" t="s">
        <v>276</v>
      </c>
      <c r="C278" s="8">
        <v>371</v>
      </c>
      <c r="D278" s="8">
        <v>258</v>
      </c>
      <c r="E278" s="8">
        <v>305</v>
      </c>
      <c r="F278" s="8">
        <v>320</v>
      </c>
      <c r="G278" s="8">
        <v>346</v>
      </c>
      <c r="H278" s="8">
        <v>347</v>
      </c>
      <c r="I278" s="8">
        <v>371</v>
      </c>
      <c r="J278" s="8">
        <v>391</v>
      </c>
      <c r="K278" s="8">
        <v>398</v>
      </c>
      <c r="L278" s="8">
        <v>425</v>
      </c>
      <c r="M278" s="9">
        <v>546</v>
      </c>
    </row>
    <row r="279" spans="1:13" x14ac:dyDescent="0.25">
      <c r="A279" s="15" t="str">
        <f t="shared" ref="A279" si="83">LEFT(B279,5)</f>
        <v>12521</v>
      </c>
      <c r="B279" s="7" t="s">
        <v>277</v>
      </c>
      <c r="C279" s="8">
        <v>371</v>
      </c>
      <c r="D279" s="8">
        <v>258</v>
      </c>
      <c r="E279" s="8">
        <v>305</v>
      </c>
      <c r="F279" s="8">
        <v>320</v>
      </c>
      <c r="G279" s="8">
        <v>346</v>
      </c>
      <c r="H279" s="8">
        <v>347</v>
      </c>
      <c r="I279" s="8">
        <v>371</v>
      </c>
      <c r="J279" s="8">
        <v>391</v>
      </c>
      <c r="K279" s="8">
        <v>398</v>
      </c>
      <c r="L279" s="8">
        <v>425</v>
      </c>
      <c r="M279" s="9">
        <v>546</v>
      </c>
    </row>
    <row r="280" spans="1:13" x14ac:dyDescent="0.25">
      <c r="A280" s="15" t="str">
        <f t="shared" si="77"/>
        <v>1253</v>
      </c>
      <c r="B280" s="6" t="s">
        <v>278</v>
      </c>
      <c r="C280" s="8">
        <v>1093</v>
      </c>
      <c r="D280" s="8">
        <v>493</v>
      </c>
      <c r="E280" s="8">
        <v>784</v>
      </c>
      <c r="F280" s="8">
        <v>942</v>
      </c>
      <c r="G280" s="8">
        <v>1096</v>
      </c>
      <c r="H280" s="8">
        <v>1101</v>
      </c>
      <c r="I280" s="8">
        <v>1193</v>
      </c>
      <c r="J280" s="8">
        <v>1208</v>
      </c>
      <c r="K280" s="8">
        <v>1271</v>
      </c>
      <c r="L280" s="8">
        <v>1333</v>
      </c>
      <c r="M280" s="9">
        <v>1499</v>
      </c>
    </row>
    <row r="281" spans="1:13" x14ac:dyDescent="0.25">
      <c r="A281" s="15" t="str">
        <f t="shared" ref="A281" si="84">LEFT(B281,5)</f>
        <v>12531</v>
      </c>
      <c r="B281" s="7" t="s">
        <v>279</v>
      </c>
      <c r="C281" s="8">
        <v>1093</v>
      </c>
      <c r="D281" s="8">
        <v>493</v>
      </c>
      <c r="E281" s="8">
        <v>784</v>
      </c>
      <c r="F281" s="8">
        <v>942</v>
      </c>
      <c r="G281" s="8">
        <v>1096</v>
      </c>
      <c r="H281" s="8">
        <v>1101</v>
      </c>
      <c r="I281" s="8">
        <v>1193</v>
      </c>
      <c r="J281" s="8">
        <v>1208</v>
      </c>
      <c r="K281" s="8">
        <v>1271</v>
      </c>
      <c r="L281" s="8">
        <v>1333</v>
      </c>
      <c r="M281" s="9">
        <v>1499</v>
      </c>
    </row>
    <row r="282" spans="1:13" x14ac:dyDescent="0.25">
      <c r="A282" s="15" t="str">
        <f t="shared" si="77"/>
        <v>1254</v>
      </c>
      <c r="B282" s="6" t="s">
        <v>280</v>
      </c>
      <c r="C282" s="8">
        <v>675</v>
      </c>
      <c r="D282" s="8">
        <v>374</v>
      </c>
      <c r="E282" s="8">
        <v>457</v>
      </c>
      <c r="F282" s="8">
        <v>538</v>
      </c>
      <c r="G282" s="8">
        <v>598</v>
      </c>
      <c r="H282" s="8">
        <v>676</v>
      </c>
      <c r="I282" s="8">
        <v>727</v>
      </c>
      <c r="J282" s="8">
        <v>779</v>
      </c>
      <c r="K282" s="8">
        <v>837</v>
      </c>
      <c r="L282" s="8">
        <v>828</v>
      </c>
      <c r="M282" s="9">
        <v>937</v>
      </c>
    </row>
    <row r="283" spans="1:13" x14ac:dyDescent="0.25">
      <c r="A283" s="15" t="str">
        <f t="shared" ref="A283" si="85">LEFT(B283,5)</f>
        <v>12541</v>
      </c>
      <c r="B283" s="7" t="s">
        <v>281</v>
      </c>
      <c r="C283" s="8">
        <v>675</v>
      </c>
      <c r="D283" s="8">
        <v>374</v>
      </c>
      <c r="E283" s="8">
        <v>457</v>
      </c>
      <c r="F283" s="8">
        <v>538</v>
      </c>
      <c r="G283" s="8">
        <v>598</v>
      </c>
      <c r="H283" s="8">
        <v>676</v>
      </c>
      <c r="I283" s="8">
        <v>727</v>
      </c>
      <c r="J283" s="8">
        <v>779</v>
      </c>
      <c r="K283" s="8">
        <v>837</v>
      </c>
      <c r="L283" s="8">
        <v>828</v>
      </c>
      <c r="M283" s="9">
        <v>937</v>
      </c>
    </row>
    <row r="284" spans="1:13" x14ac:dyDescent="0.25">
      <c r="A284" s="15" t="str">
        <f t="shared" si="77"/>
        <v>1255</v>
      </c>
      <c r="B284" s="6" t="s">
        <v>282</v>
      </c>
      <c r="C284" s="8">
        <v>147</v>
      </c>
      <c r="D284" s="8">
        <v>74</v>
      </c>
      <c r="E284" s="8">
        <v>89</v>
      </c>
      <c r="F284" s="8">
        <v>87</v>
      </c>
      <c r="G284" s="8">
        <v>110</v>
      </c>
      <c r="H284" s="8">
        <v>101</v>
      </c>
      <c r="I284" s="8">
        <v>159</v>
      </c>
      <c r="J284" s="8">
        <v>145</v>
      </c>
      <c r="K284" s="8">
        <v>158</v>
      </c>
      <c r="L284" s="8">
        <v>220</v>
      </c>
      <c r="M284" s="9">
        <v>322</v>
      </c>
    </row>
    <row r="285" spans="1:13" x14ac:dyDescent="0.25">
      <c r="A285" s="15" t="str">
        <f t="shared" ref="A285" si="86">LEFT(B285,5)</f>
        <v>12551</v>
      </c>
      <c r="B285" s="7" t="s">
        <v>283</v>
      </c>
      <c r="C285" s="8">
        <v>147</v>
      </c>
      <c r="D285" s="8">
        <v>74</v>
      </c>
      <c r="E285" s="8">
        <v>89</v>
      </c>
      <c r="F285" s="8">
        <v>87</v>
      </c>
      <c r="G285" s="8">
        <v>110</v>
      </c>
      <c r="H285" s="8">
        <v>101</v>
      </c>
      <c r="I285" s="8">
        <v>159</v>
      </c>
      <c r="J285" s="8">
        <v>145</v>
      </c>
      <c r="K285" s="8">
        <v>158</v>
      </c>
      <c r="L285" s="8">
        <v>220</v>
      </c>
      <c r="M285" s="9">
        <v>322</v>
      </c>
    </row>
    <row r="286" spans="1:13" x14ac:dyDescent="0.25">
      <c r="A286" s="20" t="s">
        <v>343</v>
      </c>
      <c r="B286" s="6" t="s">
        <v>284</v>
      </c>
      <c r="C286" s="8">
        <v>148</v>
      </c>
      <c r="D286" s="8">
        <v>108</v>
      </c>
      <c r="E286" s="8">
        <v>124</v>
      </c>
      <c r="F286" s="8">
        <v>127</v>
      </c>
      <c r="G286" s="8">
        <v>139</v>
      </c>
      <c r="H286" s="8">
        <v>138</v>
      </c>
      <c r="I286" s="8">
        <v>152</v>
      </c>
      <c r="J286" s="8">
        <v>153</v>
      </c>
      <c r="K286" s="8">
        <v>163</v>
      </c>
      <c r="L286" s="8">
        <v>181</v>
      </c>
      <c r="M286" s="9">
        <v>196</v>
      </c>
    </row>
    <row r="287" spans="1:13" x14ac:dyDescent="0.25">
      <c r="A287" s="23" t="s">
        <v>333</v>
      </c>
      <c r="B287" s="6" t="s">
        <v>285</v>
      </c>
      <c r="C287" s="8">
        <v>148</v>
      </c>
      <c r="D287" s="8">
        <v>108</v>
      </c>
      <c r="E287" s="8">
        <v>124</v>
      </c>
      <c r="F287" s="8">
        <v>127</v>
      </c>
      <c r="G287" s="8">
        <v>139</v>
      </c>
      <c r="H287" s="8">
        <v>138</v>
      </c>
      <c r="I287" s="8">
        <v>152</v>
      </c>
      <c r="J287" s="8">
        <v>153</v>
      </c>
      <c r="K287" s="8">
        <v>163</v>
      </c>
      <c r="L287" s="8">
        <v>181</v>
      </c>
      <c r="M287" s="9">
        <v>196</v>
      </c>
    </row>
    <row r="288" spans="1:13" x14ac:dyDescent="0.25">
      <c r="A288" s="15" t="str">
        <f t="shared" ref="A288" si="87">LEFT(B288,5)</f>
        <v>12611</v>
      </c>
      <c r="B288" s="7" t="s">
        <v>286</v>
      </c>
      <c r="C288" s="8">
        <v>148</v>
      </c>
      <c r="D288" s="8">
        <v>108</v>
      </c>
      <c r="E288" s="8">
        <v>124</v>
      </c>
      <c r="F288" s="8">
        <v>127</v>
      </c>
      <c r="G288" s="8">
        <v>139</v>
      </c>
      <c r="H288" s="8">
        <v>138</v>
      </c>
      <c r="I288" s="8">
        <v>152</v>
      </c>
      <c r="J288" s="8">
        <v>153</v>
      </c>
      <c r="K288" s="8">
        <v>163</v>
      </c>
      <c r="L288" s="8">
        <v>181</v>
      </c>
      <c r="M288" s="9">
        <v>196</v>
      </c>
    </row>
    <row r="289" spans="1:13" x14ac:dyDescent="0.25">
      <c r="A289" s="20" t="s">
        <v>342</v>
      </c>
      <c r="B289" s="6" t="s">
        <v>287</v>
      </c>
      <c r="C289" s="8">
        <v>589</v>
      </c>
      <c r="D289" s="8">
        <v>212</v>
      </c>
      <c r="E289" s="8">
        <v>201</v>
      </c>
      <c r="F289" s="8">
        <v>392</v>
      </c>
      <c r="G289" s="8">
        <v>242</v>
      </c>
      <c r="H289" s="8">
        <v>346</v>
      </c>
      <c r="I289" s="8">
        <v>557</v>
      </c>
      <c r="J289" s="8">
        <v>633</v>
      </c>
      <c r="K289" s="8">
        <v>844</v>
      </c>
      <c r="L289" s="8">
        <v>867</v>
      </c>
      <c r="M289" s="9">
        <v>1591</v>
      </c>
    </row>
    <row r="290" spans="1:13" x14ac:dyDescent="0.25">
      <c r="A290" s="20" t="s">
        <v>334</v>
      </c>
      <c r="B290" s="6" t="s">
        <v>288</v>
      </c>
      <c r="C290" s="8">
        <v>589</v>
      </c>
      <c r="D290" s="8">
        <v>212</v>
      </c>
      <c r="E290" s="8">
        <v>201</v>
      </c>
      <c r="F290" s="8">
        <v>392</v>
      </c>
      <c r="G290" s="8">
        <v>242</v>
      </c>
      <c r="H290" s="8">
        <v>346</v>
      </c>
      <c r="I290" s="8">
        <v>557</v>
      </c>
      <c r="J290" s="8">
        <v>633</v>
      </c>
      <c r="K290" s="8">
        <v>844</v>
      </c>
      <c r="L290" s="8">
        <v>867</v>
      </c>
      <c r="M290" s="9">
        <v>1591</v>
      </c>
    </row>
    <row r="291" spans="1:13" x14ac:dyDescent="0.25">
      <c r="A291" s="15" t="str">
        <f t="shared" ref="A291" si="88">LEFT(B291,5)</f>
        <v>1271Z</v>
      </c>
      <c r="B291" s="7" t="s">
        <v>289</v>
      </c>
      <c r="C291" s="8">
        <v>589</v>
      </c>
      <c r="D291" s="8">
        <v>212</v>
      </c>
      <c r="E291" s="8">
        <v>201</v>
      </c>
      <c r="F291" s="8">
        <v>392</v>
      </c>
      <c r="G291" s="8">
        <v>242</v>
      </c>
      <c r="H291" s="8">
        <v>346</v>
      </c>
      <c r="I291" s="8">
        <v>557</v>
      </c>
      <c r="J291" s="8">
        <v>633</v>
      </c>
      <c r="K291" s="8">
        <v>844</v>
      </c>
      <c r="L291" s="8">
        <v>867</v>
      </c>
      <c r="M291" s="9">
        <v>1591</v>
      </c>
    </row>
    <row r="292" spans="1:13" x14ac:dyDescent="0.25">
      <c r="A292" s="15" t="str">
        <f t="shared" si="77"/>
        <v xml:space="preserve">128 </v>
      </c>
      <c r="B292" s="6" t="s">
        <v>290</v>
      </c>
      <c r="C292" s="8">
        <v>26</v>
      </c>
      <c r="D292" s="8">
        <v>7</v>
      </c>
      <c r="E292" s="8">
        <v>10</v>
      </c>
      <c r="F292" s="8">
        <v>8</v>
      </c>
      <c r="G292" s="8">
        <v>13</v>
      </c>
      <c r="H292" s="8">
        <v>24</v>
      </c>
      <c r="I292" s="8">
        <v>25</v>
      </c>
      <c r="J292" s="8">
        <v>48</v>
      </c>
      <c r="K292" s="8">
        <v>45</v>
      </c>
      <c r="L292" s="8">
        <v>42</v>
      </c>
      <c r="M292" s="9">
        <v>42</v>
      </c>
    </row>
    <row r="293" spans="1:13" x14ac:dyDescent="0.25">
      <c r="A293" s="15" t="str">
        <f t="shared" si="77"/>
        <v>1281</v>
      </c>
      <c r="B293" s="6" t="s">
        <v>291</v>
      </c>
      <c r="C293" s="8">
        <v>26</v>
      </c>
      <c r="D293" s="8">
        <v>7</v>
      </c>
      <c r="E293" s="8">
        <v>10</v>
      </c>
      <c r="F293" s="8">
        <v>8</v>
      </c>
      <c r="G293" s="8">
        <v>13</v>
      </c>
      <c r="H293" s="8">
        <v>24</v>
      </c>
      <c r="I293" s="8">
        <v>25</v>
      </c>
      <c r="J293" s="8">
        <v>48</v>
      </c>
      <c r="K293" s="8">
        <v>45</v>
      </c>
      <c r="L293" s="8">
        <v>42</v>
      </c>
      <c r="M293" s="9">
        <v>42</v>
      </c>
    </row>
    <row r="294" spans="1:13" x14ac:dyDescent="0.25">
      <c r="A294" s="15" t="str">
        <f t="shared" ref="A294" si="89">LEFT(B294,5)</f>
        <v>12811</v>
      </c>
      <c r="B294" s="7" t="s">
        <v>292</v>
      </c>
      <c r="C294" s="8">
        <v>26</v>
      </c>
      <c r="D294" s="8">
        <v>7</v>
      </c>
      <c r="E294" s="8">
        <v>10</v>
      </c>
      <c r="F294" s="8">
        <v>8</v>
      </c>
      <c r="G294" s="8">
        <v>13</v>
      </c>
      <c r="H294" s="8">
        <v>24</v>
      </c>
      <c r="I294" s="8">
        <v>25</v>
      </c>
      <c r="J294" s="8">
        <v>48</v>
      </c>
      <c r="K294" s="8">
        <v>45</v>
      </c>
      <c r="L294" s="8">
        <v>42</v>
      </c>
      <c r="M294" s="9">
        <v>42</v>
      </c>
    </row>
    <row r="295" spans="1:13" x14ac:dyDescent="0.25">
      <c r="A295" s="15" t="str">
        <f t="shared" si="77"/>
        <v xml:space="preserve">129 </v>
      </c>
      <c r="B295" s="6" t="s">
        <v>293</v>
      </c>
      <c r="C295" s="8">
        <v>21</v>
      </c>
      <c r="D295" s="8">
        <v>11</v>
      </c>
      <c r="E295" s="8">
        <v>11</v>
      </c>
      <c r="F295" s="8">
        <v>16</v>
      </c>
      <c r="G295" s="8">
        <v>15</v>
      </c>
      <c r="H295" s="8">
        <v>14</v>
      </c>
      <c r="I295" s="8">
        <v>9</v>
      </c>
      <c r="J295" s="8">
        <v>24</v>
      </c>
      <c r="K295" s="8">
        <v>50</v>
      </c>
      <c r="L295" s="8">
        <v>23</v>
      </c>
      <c r="M295" s="9">
        <v>40</v>
      </c>
    </row>
    <row r="296" spans="1:13" x14ac:dyDescent="0.25">
      <c r="A296" s="15" t="str">
        <f t="shared" si="77"/>
        <v>1291</v>
      </c>
      <c r="B296" s="6" t="s">
        <v>294</v>
      </c>
      <c r="C296" s="8">
        <v>21</v>
      </c>
      <c r="D296" s="8">
        <v>11</v>
      </c>
      <c r="E296" s="8">
        <v>11</v>
      </c>
      <c r="F296" s="8">
        <v>16</v>
      </c>
      <c r="G296" s="8">
        <v>15</v>
      </c>
      <c r="H296" s="8">
        <v>14</v>
      </c>
      <c r="I296" s="8">
        <v>9</v>
      </c>
      <c r="J296" s="8">
        <v>24</v>
      </c>
      <c r="K296" s="8">
        <v>50</v>
      </c>
      <c r="L296" s="8">
        <v>23</v>
      </c>
      <c r="M296" s="9">
        <v>40</v>
      </c>
    </row>
    <row r="297" spans="1:13" x14ac:dyDescent="0.25">
      <c r="A297" s="15" t="str">
        <f t="shared" ref="A297" si="90">LEFT(B297,5)</f>
        <v>12911</v>
      </c>
      <c r="B297" s="7" t="s">
        <v>295</v>
      </c>
      <c r="C297" s="8">
        <v>21</v>
      </c>
      <c r="D297" s="8">
        <v>11</v>
      </c>
      <c r="E297" s="8">
        <v>11</v>
      </c>
      <c r="F297" s="8">
        <v>16</v>
      </c>
      <c r="G297" s="8">
        <v>15</v>
      </c>
      <c r="H297" s="8">
        <v>14</v>
      </c>
      <c r="I297" s="8">
        <v>9</v>
      </c>
      <c r="J297" s="8">
        <v>24</v>
      </c>
      <c r="K297" s="8">
        <v>50</v>
      </c>
      <c r="L297" s="8">
        <v>23</v>
      </c>
      <c r="M297" s="9">
        <v>40</v>
      </c>
    </row>
  </sheetData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/>
  <drawing r:id="rId2"/>
  <mc:AlternateContent xmlns:mc="http://schemas.openxmlformats.org/markup-compatibility/2006">
    <mc:Choice Requires="v">
      <legacyDrawing r:id="rId3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TF106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TF106 : Dépenses annuelles moyennes par ménage en France selon le niveau de vie</dc:title>
  <dc:creator>INSEE</dc:creator>
  <cp:keywords/>
  <dc:description>Lecture : les ménages du 1er décile de niveau de vie, c'est-à-dire les 10 % des ménages ayant les niveaux de vie les plus faibles, ont une consommation annuelle moyenne de 16 123 euros par ménage._x000d_Unité : euros_x000d_Champ : France (métropole + Dom)_x000d_Source : Insee, enquête Budget de famille 2017</dc:description>
  <cp:lastModifiedBy>MONTORNES Jérémi (DETACHES FRANCE)</cp:lastModifiedBy>
  <dcterms:created xsi:type="dcterms:W3CDTF">2020-08-27T15:56:18Z</dcterms:created>
  <dcterms:modified xsi:type="dcterms:W3CDTF">2023-05-03T09:50:06Z</dcterms:modified>
  <cp:category/>
</cp:coreProperties>
</file>